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embeddings/oleObject1.bin" ContentType="application/vnd.openxmlformats-officedocument.oleObject"/>
  <Override PartName="/xl/comments1.xml" ContentType="application/vnd.openxmlformats-officedocument.spreadsheetml.comments+xml"/>
  <Override PartName="/xl/drawings/drawing3.xml" ContentType="application/vnd.openxmlformats-officedocument.drawing+xml"/>
  <Override PartName="/xl/embeddings/oleObject2.bin" ContentType="application/vnd.openxmlformats-officedocument.oleObject"/>
  <Override PartName="/xl/comments2.xml" ContentType="application/vnd.openxmlformats-officedocument.spreadsheetml.comments+xml"/>
  <Override PartName="/xl/drawings/drawing4.xml" ContentType="application/vnd.openxmlformats-officedocument.drawing+xml"/>
  <Override PartName="/xl/embeddings/oleObject3.bin" ContentType="application/vnd.openxmlformats-officedocument.oleObject"/>
  <Override PartName="/xl/comments3.xml" ContentType="application/vnd.openxmlformats-officedocument.spreadsheetml.comments+xml"/>
  <Override PartName="/xl/drawings/drawing5.xml" ContentType="application/vnd.openxmlformats-officedocument.drawing+xml"/>
  <Override PartName="/xl/embeddings/oleObject4.bin" ContentType="application/vnd.openxmlformats-officedocument.oleObject"/>
  <Override PartName="/xl/comments4.xml" ContentType="application/vnd.openxmlformats-officedocument.spreadsheetml.comments+xml"/>
  <Override PartName="/xl/drawings/drawing6.xml" ContentType="application/vnd.openxmlformats-officedocument.drawing+xml"/>
  <Override PartName="/xl/embeddings/oleObject5.bin" ContentType="application/vnd.openxmlformats-officedocument.oleObject"/>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codeName="ThisWorkbook"/>
  <mc:AlternateContent xmlns:mc="http://schemas.openxmlformats.org/markup-compatibility/2006">
    <mc:Choice Requires="x15">
      <x15ac:absPath xmlns:x15ac="http://schemas.microsoft.com/office/spreadsheetml/2010/11/ac" url="D:\bases\material de apoyo Tasas\"/>
    </mc:Choice>
  </mc:AlternateContent>
  <bookViews>
    <workbookView xWindow="120" yWindow="75" windowWidth="15480" windowHeight="9210" tabRatio="726"/>
  </bookViews>
  <sheets>
    <sheet name="Índice" sheetId="19" r:id="rId1"/>
    <sheet name="Ejemplo 1" sheetId="18" r:id="rId2"/>
    <sheet name="Ejemplo 2 Caso I" sheetId="26" r:id="rId3"/>
    <sheet name="Ejemplo 2 Caso II" sheetId="27" r:id="rId4"/>
    <sheet name="Ejemplo 2 Caso III" sheetId="28" r:id="rId5"/>
    <sheet name="Ejemplo 3" sheetId="30" r:id="rId6"/>
    <sheet name="Crédito Leasing" sheetId="17" state="hidden" r:id="rId7"/>
  </sheets>
  <definedNames>
    <definedName name="credito" localSheetId="2">'Ejemplo 2 Caso I'!$D$21</definedName>
    <definedName name="credito" localSheetId="3">'Ejemplo 2 Caso II'!$D$21</definedName>
    <definedName name="credito" localSheetId="4">'Ejemplo 2 Caso III'!$D$21</definedName>
    <definedName name="credito" localSheetId="5">'Ejemplo 3'!$D$19</definedName>
    <definedName name="credito">'Ejemplo 1'!$D$19</definedName>
    <definedName name="listas" localSheetId="2">'Ejemplo 2 Caso I'!$D$19</definedName>
    <definedName name="listas" localSheetId="3">'Ejemplo 2 Caso II'!$D$19</definedName>
    <definedName name="listas" localSheetId="4">'Ejemplo 2 Caso III'!$D$19</definedName>
    <definedName name="listas" localSheetId="5">'Ejemplo 3'!$D$17</definedName>
    <definedName name="listas">'Ejemplo 1'!$D$17</definedName>
    <definedName name="pagos" localSheetId="2">'Ejemplo 2 Caso I'!$D$23</definedName>
    <definedName name="pagos" localSheetId="3">'Ejemplo 2 Caso II'!$D$23</definedName>
    <definedName name="pagos" localSheetId="4">'Ejemplo 2 Caso III'!$D$23</definedName>
    <definedName name="pagos" localSheetId="5">'Ejemplo 3'!$D$22</definedName>
    <definedName name="pagos">'Ejemplo 1'!$D$21</definedName>
  </definedNames>
  <calcPr calcId="152511"/>
</workbook>
</file>

<file path=xl/calcChain.xml><?xml version="1.0" encoding="utf-8"?>
<calcChain xmlns="http://schemas.openxmlformats.org/spreadsheetml/2006/main">
  <c r="D42" i="26" l="1"/>
  <c r="D39" i="30"/>
  <c r="D42" i="28"/>
  <c r="D42" i="27"/>
  <c r="D38" i="18"/>
  <c r="D32" i="30" l="1"/>
  <c r="I16" i="30" s="1"/>
  <c r="D31" i="30"/>
  <c r="W55" i="30" s="1"/>
  <c r="X53" i="30" s="1"/>
  <c r="D30" i="30"/>
  <c r="D23" i="30"/>
  <c r="L15" i="30"/>
  <c r="O15" i="30" s="1"/>
  <c r="H10" i="30"/>
  <c r="T15" i="30" l="1"/>
  <c r="H17" i="30" s="1"/>
  <c r="I17" i="30" s="1"/>
  <c r="J16" i="30"/>
  <c r="O16" i="30" l="1"/>
  <c r="K16" i="30"/>
  <c r="L16" i="30" s="1"/>
  <c r="H18" i="30"/>
  <c r="I18" i="30" s="1"/>
  <c r="M16" i="30" l="1"/>
  <c r="H19" i="30"/>
  <c r="I19" i="30" s="1"/>
  <c r="J17" i="30" l="1"/>
  <c r="H20" i="30"/>
  <c r="I20" i="30" s="1"/>
  <c r="K17" i="30" l="1"/>
  <c r="L17" i="30" s="1"/>
  <c r="H21" i="30"/>
  <c r="I21" i="30" s="1"/>
  <c r="M17" i="30" l="1"/>
  <c r="H22" i="30"/>
  <c r="I22" i="30" s="1"/>
  <c r="J18" i="30" l="1"/>
  <c r="K18" i="30" s="1"/>
  <c r="L18" i="30" s="1"/>
  <c r="O17" i="30"/>
  <c r="H23" i="30"/>
  <c r="I23" i="30" s="1"/>
  <c r="M18" i="30" l="1"/>
  <c r="J19" i="30"/>
  <c r="K19" i="30" s="1"/>
  <c r="L19" i="30" s="1"/>
  <c r="O18" i="30"/>
  <c r="H24" i="30"/>
  <c r="I24" i="30" s="1"/>
  <c r="J20" i="30" l="1"/>
  <c r="K20" i="30" s="1"/>
  <c r="L20" i="30" s="1"/>
  <c r="M19" i="30"/>
  <c r="H25" i="30"/>
  <c r="I25" i="30" s="1"/>
  <c r="J21" i="30" l="1"/>
  <c r="K21" i="30" s="1"/>
  <c r="L21" i="30" s="1"/>
  <c r="M20" i="30"/>
  <c r="H26" i="30"/>
  <c r="I26" i="30" s="1"/>
  <c r="M21" i="30" l="1"/>
  <c r="O19" i="30"/>
  <c r="H27" i="30"/>
  <c r="I27" i="30" s="1"/>
  <c r="J22" i="30" l="1"/>
  <c r="K22" i="30" s="1"/>
  <c r="L22" i="30" s="1"/>
  <c r="O20" i="30"/>
  <c r="H28" i="30"/>
  <c r="I28" i="30" l="1"/>
  <c r="L28" i="30"/>
  <c r="M22" i="30"/>
  <c r="H29" i="30"/>
  <c r="I29" i="30" l="1"/>
  <c r="L29" i="30"/>
  <c r="J23" i="30"/>
  <c r="K23" i="30" s="1"/>
  <c r="L23" i="30" s="1"/>
  <c r="O21" i="30"/>
  <c r="H30" i="30"/>
  <c r="L30" i="30" l="1"/>
  <c r="I30" i="30"/>
  <c r="M23" i="30"/>
  <c r="H31" i="30"/>
  <c r="I31" i="30" l="1"/>
  <c r="L31" i="30"/>
  <c r="J24" i="30"/>
  <c r="K24" i="30" s="1"/>
  <c r="L24" i="30" s="1"/>
  <c r="O22" i="30"/>
  <c r="H32" i="30"/>
  <c r="I32" i="30" l="1"/>
  <c r="L32" i="30"/>
  <c r="M24" i="30"/>
  <c r="H33" i="30"/>
  <c r="I33" i="30" l="1"/>
  <c r="L33" i="30"/>
  <c r="J25" i="30"/>
  <c r="K25" i="30" s="1"/>
  <c r="O23" i="30"/>
  <c r="H34" i="30"/>
  <c r="L34" i="30" l="1"/>
  <c r="I34" i="30"/>
  <c r="M25" i="30"/>
  <c r="L25" i="30"/>
  <c r="H35" i="30"/>
  <c r="L35" i="30" l="1"/>
  <c r="I35" i="30"/>
  <c r="J26" i="30"/>
  <c r="K26" i="30" s="1"/>
  <c r="M26" i="30" s="1"/>
  <c r="O24" i="30"/>
  <c r="H36" i="30"/>
  <c r="I36" i="30" l="1"/>
  <c r="L36" i="30"/>
  <c r="L26" i="30"/>
  <c r="J27" i="30"/>
  <c r="K27" i="30" s="1"/>
  <c r="M27" i="30" s="1"/>
  <c r="J28" i="30"/>
  <c r="K28" i="30" s="1"/>
  <c r="M28" i="30" s="1"/>
  <c r="H37" i="30"/>
  <c r="I37" i="30" l="1"/>
  <c r="L37" i="30"/>
  <c r="L27" i="30"/>
  <c r="J29" i="30"/>
  <c r="K29" i="30" s="1"/>
  <c r="O25" i="30"/>
  <c r="H38" i="30"/>
  <c r="I38" i="30" l="1"/>
  <c r="L38" i="30"/>
  <c r="J30" i="30"/>
  <c r="K30" i="30" s="1"/>
  <c r="M29" i="30"/>
  <c r="M30" i="30" s="1"/>
  <c r="H39" i="30"/>
  <c r="I39" i="30" l="1"/>
  <c r="L39" i="30"/>
  <c r="J31" i="30"/>
  <c r="K31" i="30" s="1"/>
  <c r="M31" i="30" s="1"/>
  <c r="H40" i="30"/>
  <c r="L40" i="30" l="1"/>
  <c r="I40" i="30"/>
  <c r="M32" i="30"/>
  <c r="K40" i="30"/>
  <c r="J40" i="30"/>
  <c r="M40" i="30"/>
  <c r="J32" i="30"/>
  <c r="K32" i="30" s="1"/>
  <c r="O40" i="30"/>
  <c r="H41" i="30"/>
  <c r="I41" i="30" l="1"/>
  <c r="L41" i="30"/>
  <c r="J33" i="30"/>
  <c r="K33" i="30" s="1"/>
  <c r="M33" i="30" s="1"/>
  <c r="J41" i="30"/>
  <c r="M41" i="30"/>
  <c r="K41" i="30"/>
  <c r="H42" i="30"/>
  <c r="O41" i="30"/>
  <c r="L42" i="30" l="1"/>
  <c r="I42" i="30"/>
  <c r="M34" i="30"/>
  <c r="K42" i="30"/>
  <c r="M42" i="30"/>
  <c r="J42" i="30"/>
  <c r="J34" i="30"/>
  <c r="K34" i="30" s="1"/>
  <c r="O42" i="30"/>
  <c r="H43" i="30"/>
  <c r="L43" i="30" l="1"/>
  <c r="I43" i="30"/>
  <c r="J35" i="30"/>
  <c r="K35" i="30" s="1"/>
  <c r="M35" i="30" s="1"/>
  <c r="K43" i="30"/>
  <c r="J43" i="30"/>
  <c r="M43" i="30"/>
  <c r="O43" i="30"/>
  <c r="H44" i="30"/>
  <c r="I44" i="30" l="1"/>
  <c r="L44" i="30"/>
  <c r="J44" i="30"/>
  <c r="M44" i="30"/>
  <c r="K44" i="30"/>
  <c r="O44" i="30"/>
  <c r="H45" i="30"/>
  <c r="I45" i="30" l="1"/>
  <c r="L45" i="30"/>
  <c r="J45" i="30"/>
  <c r="M45" i="30"/>
  <c r="K45" i="30"/>
  <c r="J36" i="30"/>
  <c r="K36" i="30" s="1"/>
  <c r="M36" i="30" s="1"/>
  <c r="O30" i="30"/>
  <c r="H46" i="30"/>
  <c r="O45" i="30"/>
  <c r="I46" i="30" l="1"/>
  <c r="L46" i="30"/>
  <c r="M46" i="30"/>
  <c r="K46" i="30"/>
  <c r="J46" i="30"/>
  <c r="J37" i="30"/>
  <c r="K37" i="30" s="1"/>
  <c r="M37" i="30" s="1"/>
  <c r="O31" i="30"/>
  <c r="O46" i="30"/>
  <c r="H47" i="30"/>
  <c r="I47" i="30" l="1"/>
  <c r="L47" i="30"/>
  <c r="J47" i="30"/>
  <c r="M47" i="30"/>
  <c r="K47" i="30"/>
  <c r="O32" i="30"/>
  <c r="O47" i="30"/>
  <c r="H48" i="30"/>
  <c r="I48" i="30" l="1"/>
  <c r="L48" i="30"/>
  <c r="J48" i="30"/>
  <c r="K48" i="30"/>
  <c r="M48" i="30"/>
  <c r="J38" i="30"/>
  <c r="K38" i="30" s="1"/>
  <c r="M38" i="30" s="1"/>
  <c r="O48" i="30"/>
  <c r="H49" i="30"/>
  <c r="I49" i="30" l="1"/>
  <c r="L49" i="30"/>
  <c r="J49" i="30"/>
  <c r="M49" i="30"/>
  <c r="K49" i="30"/>
  <c r="O33" i="30"/>
  <c r="H50" i="30"/>
  <c r="O49" i="30"/>
  <c r="L50" i="30" l="1"/>
  <c r="I50" i="30"/>
  <c r="K50" i="30"/>
  <c r="M50" i="30"/>
  <c r="J50" i="30"/>
  <c r="J39" i="30"/>
  <c r="K39" i="30" s="1"/>
  <c r="M39" i="30" s="1"/>
  <c r="O34" i="30"/>
  <c r="O50" i="30"/>
  <c r="H51" i="30"/>
  <c r="L51" i="30" l="1"/>
  <c r="I51" i="30"/>
  <c r="K51" i="30"/>
  <c r="J51" i="30"/>
  <c r="M51" i="30"/>
  <c r="O51" i="30"/>
  <c r="H52" i="30"/>
  <c r="I52" i="30" l="1"/>
  <c r="L52" i="30"/>
  <c r="J52" i="30"/>
  <c r="K52" i="30"/>
  <c r="M52" i="30"/>
  <c r="O35" i="30"/>
  <c r="O52" i="30"/>
  <c r="H53" i="30"/>
  <c r="I53" i="30" l="1"/>
  <c r="L53" i="30"/>
  <c r="K53" i="30"/>
  <c r="M53" i="30"/>
  <c r="J53" i="30"/>
  <c r="O36" i="30"/>
  <c r="H54" i="30"/>
  <c r="O53" i="30"/>
  <c r="I54" i="30" l="1"/>
  <c r="L54" i="30"/>
  <c r="M54" i="30"/>
  <c r="K54" i="30"/>
  <c r="J54" i="30"/>
  <c r="O37" i="30"/>
  <c r="H55" i="30"/>
  <c r="O54" i="30"/>
  <c r="L55" i="30" l="1"/>
  <c r="I55" i="30"/>
  <c r="K55" i="30"/>
  <c r="J55" i="30"/>
  <c r="M55" i="30"/>
  <c r="O38" i="30"/>
  <c r="H56" i="30"/>
  <c r="O55" i="30"/>
  <c r="I56" i="30" l="1"/>
  <c r="L56" i="30"/>
  <c r="K56" i="30"/>
  <c r="M56" i="30"/>
  <c r="J56" i="30"/>
  <c r="O39" i="30"/>
  <c r="H57" i="30"/>
  <c r="O56" i="30"/>
  <c r="I57" i="30" l="1"/>
  <c r="L57" i="30"/>
  <c r="J57" i="30"/>
  <c r="M57" i="30"/>
  <c r="K57" i="30"/>
  <c r="O57" i="30"/>
  <c r="H58" i="30"/>
  <c r="I58" i="30" l="1"/>
  <c r="L58" i="30"/>
  <c r="K58" i="30"/>
  <c r="J58" i="30"/>
  <c r="M58" i="30"/>
  <c r="O58" i="30"/>
  <c r="H59" i="30"/>
  <c r="L59" i="30" l="1"/>
  <c r="I59" i="30"/>
  <c r="K59" i="30"/>
  <c r="J59" i="30"/>
  <c r="M59" i="30"/>
  <c r="H60" i="30"/>
  <c r="O59" i="30"/>
  <c r="I60" i="30" l="1"/>
  <c r="L60" i="30"/>
  <c r="J60" i="30"/>
  <c r="M60" i="30"/>
  <c r="K60" i="30"/>
  <c r="H61" i="30"/>
  <c r="O60" i="30"/>
  <c r="I61" i="30" l="1"/>
  <c r="L61" i="30"/>
  <c r="J61" i="30"/>
  <c r="M61" i="30"/>
  <c r="K61" i="30"/>
  <c r="O61" i="30"/>
  <c r="H62" i="30"/>
  <c r="L62" i="30" l="1"/>
  <c r="I62" i="30"/>
  <c r="M62" i="30"/>
  <c r="K62" i="30"/>
  <c r="J62" i="30"/>
  <c r="O62" i="30"/>
  <c r="H63" i="30"/>
  <c r="I63" i="30" l="1"/>
  <c r="L63" i="30"/>
  <c r="J63" i="30"/>
  <c r="K63" i="30"/>
  <c r="M63" i="30"/>
  <c r="H64" i="30"/>
  <c r="O63" i="30"/>
  <c r="I64" i="30" l="1"/>
  <c r="L64" i="30"/>
  <c r="M64" i="30"/>
  <c r="K64" i="30"/>
  <c r="J64" i="30"/>
  <c r="O64" i="30"/>
  <c r="H65" i="30"/>
  <c r="I65" i="30" l="1"/>
  <c r="L65" i="30"/>
  <c r="J65" i="30"/>
  <c r="M65" i="30"/>
  <c r="K65" i="30"/>
  <c r="O65" i="30"/>
  <c r="H66" i="30"/>
  <c r="L66" i="30" l="1"/>
  <c r="I66" i="30"/>
  <c r="K66" i="30"/>
  <c r="J66" i="30"/>
  <c r="M66" i="30"/>
  <c r="O66" i="30"/>
  <c r="H67" i="30"/>
  <c r="L67" i="30" l="1"/>
  <c r="I67" i="30"/>
  <c r="K67" i="30"/>
  <c r="J67" i="30"/>
  <c r="M67" i="30"/>
  <c r="H68" i="30"/>
  <c r="O67" i="30"/>
  <c r="I68" i="30" l="1"/>
  <c r="L68" i="30"/>
  <c r="J68" i="30"/>
  <c r="M68" i="30"/>
  <c r="K68" i="30"/>
  <c r="O68" i="30"/>
  <c r="H69" i="30"/>
  <c r="I69" i="30" l="1"/>
  <c r="L69" i="30"/>
  <c r="K69" i="30"/>
  <c r="J69" i="30"/>
  <c r="M69" i="30"/>
  <c r="O69" i="30"/>
  <c r="H70" i="30"/>
  <c r="I70" i="30" l="1"/>
  <c r="L70" i="30"/>
  <c r="M70" i="30"/>
  <c r="K70" i="30"/>
  <c r="J70" i="30"/>
  <c r="O70" i="30"/>
  <c r="H71" i="30"/>
  <c r="I71" i="30" l="1"/>
  <c r="L71" i="30"/>
  <c r="K71" i="30"/>
  <c r="M71" i="30"/>
  <c r="J71" i="30"/>
  <c r="H72" i="30"/>
  <c r="O71" i="30"/>
  <c r="L72" i="30" l="1"/>
  <c r="I72" i="30"/>
  <c r="K72" i="30"/>
  <c r="M72" i="30"/>
  <c r="J72" i="30"/>
  <c r="O72" i="30"/>
  <c r="H73" i="30"/>
  <c r="I73" i="30" l="1"/>
  <c r="L73" i="30"/>
  <c r="J73" i="30"/>
  <c r="M73" i="30"/>
  <c r="K73" i="30"/>
  <c r="O73" i="30"/>
  <c r="H74" i="30"/>
  <c r="I74" i="30" l="1"/>
  <c r="L74" i="30"/>
  <c r="K74" i="30"/>
  <c r="J74" i="30"/>
  <c r="M74" i="30"/>
  <c r="O74" i="30"/>
  <c r="H75" i="30"/>
  <c r="L75" i="30" l="1"/>
  <c r="I75" i="30"/>
  <c r="K75" i="30"/>
  <c r="J75" i="30"/>
  <c r="M75" i="30"/>
  <c r="H76" i="30"/>
  <c r="O75" i="30"/>
  <c r="I76" i="30" l="1"/>
  <c r="L76" i="30"/>
  <c r="J76" i="30"/>
  <c r="M76" i="30"/>
  <c r="K76" i="30"/>
  <c r="O76" i="30"/>
  <c r="H77" i="30"/>
  <c r="I77" i="30" l="1"/>
  <c r="L77" i="30"/>
  <c r="J77" i="30"/>
  <c r="M77" i="30"/>
  <c r="K77" i="30"/>
  <c r="O77" i="30"/>
  <c r="H78" i="30"/>
  <c r="L78" i="30" l="1"/>
  <c r="I78" i="30"/>
  <c r="M78" i="30"/>
  <c r="K78" i="30"/>
  <c r="J78" i="30"/>
  <c r="O78" i="30"/>
  <c r="H79" i="30"/>
  <c r="I79" i="30" l="1"/>
  <c r="L79" i="30"/>
  <c r="J79" i="30"/>
  <c r="M79" i="30"/>
  <c r="K79" i="30"/>
  <c r="H80" i="30"/>
  <c r="O79" i="30"/>
  <c r="I80" i="30" l="1"/>
  <c r="L80" i="30"/>
  <c r="J80" i="30"/>
  <c r="K80" i="30"/>
  <c r="M80" i="30"/>
  <c r="O80" i="30"/>
  <c r="H81" i="30"/>
  <c r="I81" i="30" l="1"/>
  <c r="L81" i="30"/>
  <c r="J81" i="30"/>
  <c r="M81" i="30"/>
  <c r="K81" i="30"/>
  <c r="O81" i="30"/>
  <c r="H82" i="30"/>
  <c r="I82" i="30" l="1"/>
  <c r="L82" i="30"/>
  <c r="K82" i="30"/>
  <c r="M82" i="30"/>
  <c r="J82" i="30"/>
  <c r="O82" i="30"/>
  <c r="H83" i="30"/>
  <c r="L83" i="30" l="1"/>
  <c r="I83" i="30"/>
  <c r="K83" i="30"/>
  <c r="J83" i="30"/>
  <c r="M83" i="30"/>
  <c r="H84" i="30"/>
  <c r="O83" i="30"/>
  <c r="I84" i="30" l="1"/>
  <c r="L84" i="30"/>
  <c r="J84" i="30"/>
  <c r="K84" i="30"/>
  <c r="M84" i="30"/>
  <c r="O84" i="30"/>
  <c r="H85" i="30"/>
  <c r="I85" i="30" l="1"/>
  <c r="L85" i="30"/>
  <c r="K85" i="30"/>
  <c r="M85" i="30"/>
  <c r="J85" i="30"/>
  <c r="O85" i="30"/>
  <c r="H86" i="30"/>
  <c r="L86" i="30" l="1"/>
  <c r="I86" i="30"/>
  <c r="M86" i="30"/>
  <c r="K86" i="30"/>
  <c r="J86" i="30"/>
  <c r="O86" i="30"/>
  <c r="H87" i="30"/>
  <c r="L87" i="30" l="1"/>
  <c r="I87" i="30"/>
  <c r="J87" i="30"/>
  <c r="M87" i="30"/>
  <c r="K87" i="30"/>
  <c r="H88" i="30"/>
  <c r="O87" i="30"/>
  <c r="L88" i="30" l="1"/>
  <c r="I88" i="30"/>
  <c r="K88" i="30"/>
  <c r="J88" i="30"/>
  <c r="M88" i="30"/>
  <c r="O88" i="30"/>
  <c r="H89" i="30"/>
  <c r="I89" i="30" l="1"/>
  <c r="L89" i="30"/>
  <c r="J89" i="30"/>
  <c r="M89" i="30"/>
  <c r="K89" i="30"/>
  <c r="O89" i="30"/>
  <c r="H90" i="30"/>
  <c r="I90" i="30" l="1"/>
  <c r="L90" i="30"/>
  <c r="K90" i="30"/>
  <c r="J90" i="30"/>
  <c r="M90" i="30"/>
  <c r="O90" i="30"/>
  <c r="H91" i="30"/>
  <c r="L91" i="30" l="1"/>
  <c r="I91" i="30"/>
  <c r="K91" i="30"/>
  <c r="J91" i="30"/>
  <c r="M91" i="30"/>
  <c r="H92" i="30"/>
  <c r="O91" i="30"/>
  <c r="I92" i="30" l="1"/>
  <c r="L92" i="30"/>
  <c r="J92" i="30"/>
  <c r="K92" i="30"/>
  <c r="M92" i="30"/>
  <c r="O92" i="30"/>
  <c r="H93" i="30"/>
  <c r="I93" i="30" l="1"/>
  <c r="L93" i="30"/>
  <c r="J93" i="30"/>
  <c r="M93" i="30"/>
  <c r="K93" i="30"/>
  <c r="O93" i="30"/>
  <c r="H94" i="30"/>
  <c r="L94" i="30" l="1"/>
  <c r="I94" i="30"/>
  <c r="M94" i="30"/>
  <c r="K94" i="30"/>
  <c r="J94" i="30"/>
  <c r="O94" i="30"/>
  <c r="H95" i="30"/>
  <c r="I95" i="30" l="1"/>
  <c r="L95" i="30"/>
  <c r="J95" i="30"/>
  <c r="K95" i="30"/>
  <c r="M95" i="30"/>
  <c r="H96" i="30"/>
  <c r="O95" i="30"/>
  <c r="I96" i="30" l="1"/>
  <c r="L96" i="30"/>
  <c r="M96" i="30"/>
  <c r="K96" i="30"/>
  <c r="J96" i="30"/>
  <c r="O96" i="30"/>
  <c r="H97" i="30"/>
  <c r="I97" i="30" l="1"/>
  <c r="L97" i="30"/>
  <c r="J97" i="30"/>
  <c r="M97" i="30"/>
  <c r="K97" i="30"/>
  <c r="O97" i="30"/>
  <c r="H98" i="30"/>
  <c r="L98" i="30" l="1"/>
  <c r="I98" i="30"/>
  <c r="K98" i="30"/>
  <c r="J98" i="30"/>
  <c r="M98" i="30"/>
  <c r="O98" i="30"/>
  <c r="H99" i="30"/>
  <c r="L99" i="30" l="1"/>
  <c r="I99" i="30"/>
  <c r="K99" i="30"/>
  <c r="M99" i="30"/>
  <c r="J99" i="30"/>
  <c r="H100" i="30"/>
  <c r="O99" i="30"/>
  <c r="I100" i="30" l="1"/>
  <c r="L100" i="30"/>
  <c r="J100" i="30"/>
  <c r="M100" i="30"/>
  <c r="K100" i="30"/>
  <c r="O100" i="30"/>
  <c r="H101" i="30"/>
  <c r="I101" i="30" l="1"/>
  <c r="L101" i="30"/>
  <c r="K101" i="30"/>
  <c r="M101" i="30"/>
  <c r="J101" i="30"/>
  <c r="O101" i="30"/>
  <c r="H102" i="30"/>
  <c r="L102" i="30" l="1"/>
  <c r="I102" i="30"/>
  <c r="M102" i="30"/>
  <c r="K102" i="30"/>
  <c r="J102" i="30"/>
  <c r="O102" i="30"/>
  <c r="H103" i="30"/>
  <c r="I103" i="30" l="1"/>
  <c r="L103" i="30"/>
  <c r="K103" i="30"/>
  <c r="J103" i="30"/>
  <c r="M103" i="30"/>
  <c r="H104" i="30"/>
  <c r="O103" i="30"/>
  <c r="L104" i="30" l="1"/>
  <c r="I104" i="30"/>
  <c r="K104" i="30"/>
  <c r="J104" i="30"/>
  <c r="M104" i="30"/>
  <c r="O104" i="30"/>
  <c r="H105" i="30"/>
  <c r="I105" i="30" l="1"/>
  <c r="L105" i="30"/>
  <c r="J105" i="30"/>
  <c r="M105" i="30"/>
  <c r="K105" i="30"/>
  <c r="O105" i="30"/>
  <c r="H106" i="30"/>
  <c r="I106" i="30" l="1"/>
  <c r="L106" i="30"/>
  <c r="K106" i="30"/>
  <c r="J106" i="30"/>
  <c r="M106" i="30"/>
  <c r="O106" i="30"/>
  <c r="H107" i="30"/>
  <c r="L107" i="30" l="1"/>
  <c r="I107" i="30"/>
  <c r="K107" i="30"/>
  <c r="J107" i="30"/>
  <c r="M107" i="30"/>
  <c r="H108" i="30"/>
  <c r="O107" i="30"/>
  <c r="I108" i="30" l="1"/>
  <c r="L108" i="30"/>
  <c r="J108" i="30"/>
  <c r="M108" i="30"/>
  <c r="K108" i="30"/>
  <c r="O108" i="30"/>
  <c r="H109" i="30"/>
  <c r="I109" i="30" l="1"/>
  <c r="L109" i="30"/>
  <c r="J109" i="30"/>
  <c r="M109" i="30"/>
  <c r="K109" i="30"/>
  <c r="O109" i="30"/>
  <c r="H110" i="30"/>
  <c r="I110" i="30" l="1"/>
  <c r="L110" i="30"/>
  <c r="M110" i="30"/>
  <c r="K110" i="30"/>
  <c r="J110" i="30"/>
  <c r="O110" i="30"/>
  <c r="H111" i="30"/>
  <c r="I111" i="30" l="1"/>
  <c r="L111" i="30"/>
  <c r="J111" i="30"/>
  <c r="M111" i="30"/>
  <c r="K111" i="30"/>
  <c r="H112" i="30"/>
  <c r="O111" i="30"/>
  <c r="I112" i="30" l="1"/>
  <c r="L112" i="30"/>
  <c r="J112" i="30"/>
  <c r="K112" i="30"/>
  <c r="M112" i="30"/>
  <c r="O112" i="30"/>
  <c r="H113" i="30"/>
  <c r="I113" i="30" l="1"/>
  <c r="L113" i="30"/>
  <c r="J113" i="30"/>
  <c r="K113" i="30"/>
  <c r="M113" i="30"/>
  <c r="O113" i="30"/>
  <c r="H114" i="30"/>
  <c r="L114" i="30" l="1"/>
  <c r="I114" i="30"/>
  <c r="K114" i="30"/>
  <c r="M114" i="30"/>
  <c r="J114" i="30"/>
  <c r="O114" i="30"/>
  <c r="H115" i="30"/>
  <c r="L115" i="30" l="1"/>
  <c r="I115" i="30"/>
  <c r="K115" i="30"/>
  <c r="J115" i="30"/>
  <c r="M115" i="30"/>
  <c r="H116" i="30"/>
  <c r="O115" i="30"/>
  <c r="I116" i="30" l="1"/>
  <c r="L116" i="30"/>
  <c r="J116" i="30"/>
  <c r="K116" i="30"/>
  <c r="M116" i="30"/>
  <c r="O116" i="30"/>
  <c r="H117" i="30"/>
  <c r="I117" i="30" l="1"/>
  <c r="L117" i="30"/>
  <c r="K117" i="30"/>
  <c r="J117" i="30"/>
  <c r="M117" i="30"/>
  <c r="O117" i="30"/>
  <c r="H118" i="30"/>
  <c r="I118" i="30" l="1"/>
  <c r="L118" i="30"/>
  <c r="M118" i="30"/>
  <c r="K118" i="30"/>
  <c r="J118" i="30"/>
  <c r="O118" i="30"/>
  <c r="H119" i="30"/>
  <c r="L119" i="30" l="1"/>
  <c r="I119" i="30"/>
  <c r="K119" i="30"/>
  <c r="J119" i="30"/>
  <c r="M119" i="30"/>
  <c r="H120" i="30"/>
  <c r="O119" i="30"/>
  <c r="I120" i="30" l="1"/>
  <c r="L120" i="30"/>
  <c r="K120" i="30"/>
  <c r="J120" i="30"/>
  <c r="M120" i="30"/>
  <c r="O120" i="30"/>
  <c r="H121" i="30"/>
  <c r="I121" i="30" l="1"/>
  <c r="L121" i="30"/>
  <c r="J121" i="30"/>
  <c r="M121" i="30"/>
  <c r="K121" i="30"/>
  <c r="O121" i="30"/>
  <c r="H122" i="30"/>
  <c r="I122" i="30" l="1"/>
  <c r="L122" i="30"/>
  <c r="K122" i="30"/>
  <c r="J122" i="30"/>
  <c r="M122" i="30"/>
  <c r="O122" i="30"/>
  <c r="H123" i="30"/>
  <c r="L123" i="30" l="1"/>
  <c r="I123" i="30"/>
  <c r="K123" i="30"/>
  <c r="J123" i="30"/>
  <c r="M123" i="30"/>
  <c r="H124" i="30"/>
  <c r="O123" i="30"/>
  <c r="I124" i="30" l="1"/>
  <c r="L124" i="30"/>
  <c r="J124" i="30"/>
  <c r="K124" i="30"/>
  <c r="M124" i="30"/>
  <c r="O124" i="30"/>
  <c r="H125" i="30"/>
  <c r="I125" i="30" l="1"/>
  <c r="L125" i="30"/>
  <c r="J125" i="30"/>
  <c r="M125" i="30"/>
  <c r="K125" i="30"/>
  <c r="O125" i="30"/>
  <c r="H126" i="30"/>
  <c r="L126" i="30" l="1"/>
  <c r="I126" i="30"/>
  <c r="M126" i="30"/>
  <c r="K126" i="30"/>
  <c r="J126" i="30"/>
  <c r="O126" i="30"/>
  <c r="H127" i="30"/>
  <c r="I127" i="30" l="1"/>
  <c r="L127" i="30"/>
  <c r="J127" i="30"/>
  <c r="K127" i="30"/>
  <c r="M127" i="30"/>
  <c r="H128" i="30"/>
  <c r="O127" i="30"/>
  <c r="I128" i="30" l="1"/>
  <c r="L128" i="30"/>
  <c r="M128" i="30"/>
  <c r="K128" i="30"/>
  <c r="J128" i="30"/>
  <c r="O128" i="30"/>
  <c r="H129" i="30"/>
  <c r="L129" i="30" l="1"/>
  <c r="I129" i="30"/>
  <c r="J129" i="30"/>
  <c r="M129" i="30"/>
  <c r="K129" i="30"/>
  <c r="O129" i="30"/>
  <c r="H130" i="30"/>
  <c r="I130" i="30" l="1"/>
  <c r="L130" i="30"/>
  <c r="K130" i="30"/>
  <c r="J130" i="30"/>
  <c r="M130" i="30"/>
  <c r="O130" i="30"/>
  <c r="H131" i="30"/>
  <c r="L131" i="30" l="1"/>
  <c r="I131" i="30"/>
  <c r="K131" i="30"/>
  <c r="M131" i="30"/>
  <c r="J131" i="30"/>
  <c r="H132" i="30"/>
  <c r="O131" i="30"/>
  <c r="I132" i="30" l="1"/>
  <c r="L132" i="30"/>
  <c r="J132" i="30"/>
  <c r="M132" i="30"/>
  <c r="K132" i="30"/>
  <c r="O132" i="30"/>
  <c r="H133" i="30"/>
  <c r="I133" i="30" l="1"/>
  <c r="L133" i="30"/>
  <c r="K133" i="30"/>
  <c r="J133" i="30"/>
  <c r="M133" i="30"/>
  <c r="O133" i="30"/>
  <c r="H134" i="30"/>
  <c r="L134" i="30" l="1"/>
  <c r="I134" i="30"/>
  <c r="M134" i="30"/>
  <c r="K134" i="30"/>
  <c r="J134" i="30"/>
  <c r="O134" i="30"/>
  <c r="H135" i="30"/>
  <c r="L135" i="30" l="1"/>
  <c r="I135" i="30"/>
  <c r="M135" i="30"/>
  <c r="K135" i="30"/>
  <c r="J135" i="30"/>
  <c r="H136" i="30"/>
  <c r="O135" i="30"/>
  <c r="L136" i="30" l="1"/>
  <c r="I136" i="30"/>
  <c r="K136" i="30"/>
  <c r="M136" i="30"/>
  <c r="J136" i="30"/>
  <c r="O136" i="30"/>
  <c r="H137" i="30"/>
  <c r="I137" i="30" l="1"/>
  <c r="L137" i="30"/>
  <c r="J137" i="30"/>
  <c r="M137" i="30"/>
  <c r="K137" i="30"/>
  <c r="O137" i="30"/>
  <c r="H138" i="30"/>
  <c r="L138" i="30" l="1"/>
  <c r="I138" i="30"/>
  <c r="K138" i="30"/>
  <c r="J138" i="30"/>
  <c r="M138" i="30"/>
  <c r="O138" i="30"/>
  <c r="H139" i="30"/>
  <c r="L139" i="30" l="1"/>
  <c r="I139" i="30"/>
  <c r="K139" i="30"/>
  <c r="J139" i="30"/>
  <c r="M139" i="30"/>
  <c r="H140" i="30"/>
  <c r="O139" i="30"/>
  <c r="I140" i="30" l="1"/>
  <c r="L140" i="30"/>
  <c r="J140" i="30"/>
  <c r="M140" i="30"/>
  <c r="K140" i="30"/>
  <c r="O140" i="30"/>
  <c r="H141" i="30"/>
  <c r="I141" i="30" l="1"/>
  <c r="L141" i="30"/>
  <c r="J141" i="30"/>
  <c r="M141" i="30"/>
  <c r="K141" i="30"/>
  <c r="O141" i="30"/>
  <c r="H142" i="30"/>
  <c r="I142" i="30" l="1"/>
  <c r="L142" i="30"/>
  <c r="M142" i="30"/>
  <c r="K142" i="30"/>
  <c r="J142" i="30"/>
  <c r="O142" i="30"/>
  <c r="H143" i="30"/>
  <c r="I143" i="30" l="1"/>
  <c r="L143" i="30"/>
  <c r="J143" i="30"/>
  <c r="M143" i="30"/>
  <c r="K143" i="30"/>
  <c r="H144" i="30"/>
  <c r="O143" i="30"/>
  <c r="I144" i="30" l="1"/>
  <c r="L144" i="30"/>
  <c r="J144" i="30"/>
  <c r="M144" i="30"/>
  <c r="K144" i="30"/>
  <c r="O144" i="30"/>
  <c r="H145" i="30"/>
  <c r="L145" i="30" l="1"/>
  <c r="I145" i="30"/>
  <c r="J145" i="30"/>
  <c r="M145" i="30"/>
  <c r="K145" i="30"/>
  <c r="O145" i="30"/>
  <c r="H146" i="30"/>
  <c r="I146" i="30" l="1"/>
  <c r="L146" i="30"/>
  <c r="K146" i="30"/>
  <c r="M146" i="30"/>
  <c r="J146" i="30"/>
  <c r="O146" i="30"/>
  <c r="H147" i="30"/>
  <c r="L147" i="30" l="1"/>
  <c r="I147" i="30"/>
  <c r="K147" i="30"/>
  <c r="J147" i="30"/>
  <c r="M147" i="30"/>
  <c r="H148" i="30"/>
  <c r="O147" i="30"/>
  <c r="I148" i="30" l="1"/>
  <c r="L148" i="30"/>
  <c r="J148" i="30"/>
  <c r="K148" i="30"/>
  <c r="M148" i="30"/>
  <c r="O148" i="30"/>
  <c r="H149" i="30"/>
  <c r="I149" i="30" l="1"/>
  <c r="L149" i="30"/>
  <c r="K149" i="30"/>
  <c r="M149" i="30"/>
  <c r="J149" i="30"/>
  <c r="O149" i="30"/>
  <c r="H150" i="30"/>
  <c r="L150" i="30" l="1"/>
  <c r="I150" i="30"/>
  <c r="M150" i="30"/>
  <c r="K150" i="30"/>
  <c r="J150" i="30"/>
  <c r="O150" i="30"/>
  <c r="H151" i="30"/>
  <c r="L151" i="30" l="1"/>
  <c r="I151" i="30"/>
  <c r="J151" i="30"/>
  <c r="M151" i="30"/>
  <c r="K151" i="30"/>
  <c r="H152" i="30"/>
  <c r="O151" i="30"/>
  <c r="I152" i="30" l="1"/>
  <c r="L152" i="30"/>
  <c r="K152" i="30"/>
  <c r="J152" i="30"/>
  <c r="M152" i="30"/>
  <c r="O152" i="30"/>
  <c r="H153" i="30"/>
  <c r="I153" i="30" l="1"/>
  <c r="L153" i="30"/>
  <c r="J153" i="30"/>
  <c r="M153" i="30"/>
  <c r="K153" i="30"/>
  <c r="O153" i="30"/>
  <c r="H154" i="30"/>
  <c r="L154" i="30" l="1"/>
  <c r="I154" i="30"/>
  <c r="K154" i="30"/>
  <c r="J154" i="30"/>
  <c r="M154" i="30"/>
  <c r="O154" i="30"/>
  <c r="H155" i="30"/>
  <c r="L155" i="30" l="1"/>
  <c r="I155" i="30"/>
  <c r="K155" i="30"/>
  <c r="J155" i="30"/>
  <c r="M155" i="30"/>
  <c r="H156" i="30"/>
  <c r="O155" i="30"/>
  <c r="I156" i="30" l="1"/>
  <c r="L156" i="30"/>
  <c r="J156" i="30"/>
  <c r="K156" i="30"/>
  <c r="M156" i="30"/>
  <c r="O156" i="30"/>
  <c r="H157" i="30"/>
  <c r="I157" i="30" l="1"/>
  <c r="L157" i="30"/>
  <c r="J157" i="30"/>
  <c r="M157" i="30"/>
  <c r="K157" i="30"/>
  <c r="O157" i="30"/>
  <c r="H158" i="30"/>
  <c r="I158" i="30" l="1"/>
  <c r="L158" i="30"/>
  <c r="M158" i="30"/>
  <c r="K158" i="30"/>
  <c r="J158" i="30"/>
  <c r="O158" i="30"/>
  <c r="H159" i="30"/>
  <c r="I159" i="30" l="1"/>
  <c r="L159" i="30"/>
  <c r="J159" i="30"/>
  <c r="K159" i="30"/>
  <c r="M159" i="30"/>
  <c r="H160" i="30"/>
  <c r="O159" i="30"/>
  <c r="L160" i="30" l="1"/>
  <c r="I160" i="30"/>
  <c r="M160" i="30"/>
  <c r="K160" i="30"/>
  <c r="J160" i="30"/>
  <c r="O160" i="30"/>
  <c r="H161" i="30"/>
  <c r="L161" i="30" l="1"/>
  <c r="I161" i="30"/>
  <c r="J161" i="30"/>
  <c r="M161" i="30"/>
  <c r="K161" i="30"/>
  <c r="O161" i="30"/>
  <c r="H162" i="30"/>
  <c r="I162" i="30" l="1"/>
  <c r="L162" i="30"/>
  <c r="K162" i="30"/>
  <c r="J162" i="30"/>
  <c r="M162" i="30"/>
  <c r="O162" i="30"/>
  <c r="H163" i="30"/>
  <c r="L163" i="30" l="1"/>
  <c r="I163" i="30"/>
  <c r="K163" i="30"/>
  <c r="M163" i="30"/>
  <c r="J163" i="30"/>
  <c r="H164" i="30"/>
  <c r="O163" i="30"/>
  <c r="I164" i="30" l="1"/>
  <c r="L164" i="30"/>
  <c r="J164" i="30"/>
  <c r="M164" i="30"/>
  <c r="K164" i="30"/>
  <c r="O164" i="30"/>
  <c r="H165" i="30"/>
  <c r="I165" i="30" l="1"/>
  <c r="L165" i="30"/>
  <c r="K165" i="30"/>
  <c r="J165" i="30"/>
  <c r="M165" i="30"/>
  <c r="O165" i="30"/>
  <c r="H166" i="30"/>
  <c r="I166" i="30" l="1"/>
  <c r="L166" i="30"/>
  <c r="M166" i="30"/>
  <c r="K166" i="30"/>
  <c r="J166" i="30"/>
  <c r="O166" i="30"/>
  <c r="H167" i="30"/>
  <c r="L167" i="30" l="1"/>
  <c r="I167" i="30"/>
  <c r="K167" i="30"/>
  <c r="J167" i="30"/>
  <c r="M167" i="30"/>
  <c r="H168" i="30"/>
  <c r="O167" i="30"/>
  <c r="L168" i="30" l="1"/>
  <c r="I168" i="30"/>
  <c r="K168" i="30"/>
  <c r="J168" i="30"/>
  <c r="M168" i="30"/>
  <c r="O168" i="30"/>
  <c r="H169" i="30"/>
  <c r="I169" i="30" l="1"/>
  <c r="L169" i="30"/>
  <c r="J169" i="30"/>
  <c r="M169" i="30"/>
  <c r="K169" i="30"/>
  <c r="O169" i="30"/>
  <c r="H170" i="30"/>
  <c r="L170" i="30" l="1"/>
  <c r="I170" i="30"/>
  <c r="K170" i="30"/>
  <c r="J170" i="30"/>
  <c r="M170" i="30"/>
  <c r="O170" i="30"/>
  <c r="H171" i="30"/>
  <c r="L171" i="30" l="1"/>
  <c r="I171" i="30"/>
  <c r="K171" i="30"/>
  <c r="J171" i="30"/>
  <c r="M171" i="30"/>
  <c r="H172" i="30"/>
  <c r="O171" i="30"/>
  <c r="I172" i="30" l="1"/>
  <c r="L172" i="30"/>
  <c r="J172" i="30"/>
  <c r="M172" i="30"/>
  <c r="K172" i="30"/>
  <c r="O172" i="30"/>
  <c r="H173" i="30"/>
  <c r="I173" i="30" l="1"/>
  <c r="L173" i="30"/>
  <c r="J173" i="30"/>
  <c r="M173" i="30"/>
  <c r="K173" i="30"/>
  <c r="H174" i="30"/>
  <c r="O173" i="30"/>
  <c r="I174" i="30" l="1"/>
  <c r="L174" i="30"/>
  <c r="M174" i="30"/>
  <c r="K174" i="30"/>
  <c r="J174" i="30"/>
  <c r="O174" i="30"/>
  <c r="H175" i="30"/>
  <c r="I175" i="30" l="1"/>
  <c r="L175" i="30"/>
  <c r="J175" i="30"/>
  <c r="M175" i="30"/>
  <c r="K175" i="30"/>
  <c r="H176" i="30"/>
  <c r="O175" i="30"/>
  <c r="I176" i="30" l="1"/>
  <c r="L176" i="30"/>
  <c r="K176" i="30"/>
  <c r="M176" i="30"/>
  <c r="J176" i="30"/>
  <c r="O176" i="30"/>
  <c r="H177" i="30"/>
  <c r="L177" i="30" l="1"/>
  <c r="I177" i="30"/>
  <c r="J177" i="30"/>
  <c r="M177" i="30"/>
  <c r="K177" i="30"/>
  <c r="O177" i="30"/>
  <c r="H178" i="30"/>
  <c r="L178" i="30" l="1"/>
  <c r="I178" i="30"/>
  <c r="K178" i="30"/>
  <c r="M178" i="30"/>
  <c r="J178" i="30"/>
  <c r="O178" i="30"/>
  <c r="H179" i="30"/>
  <c r="L179" i="30" l="1"/>
  <c r="I179" i="30"/>
  <c r="K179" i="30"/>
  <c r="J179" i="30"/>
  <c r="M179" i="30"/>
  <c r="H180" i="30"/>
  <c r="O179" i="30"/>
  <c r="I180" i="30" l="1"/>
  <c r="L180" i="30"/>
  <c r="J180" i="30"/>
  <c r="K180" i="30"/>
  <c r="M180" i="30"/>
  <c r="O180" i="30"/>
  <c r="H181" i="30"/>
  <c r="I181" i="30" l="1"/>
  <c r="L181" i="30"/>
  <c r="K181" i="30"/>
  <c r="J181" i="30"/>
  <c r="M181" i="30"/>
  <c r="H182" i="30"/>
  <c r="O181" i="30"/>
  <c r="L182" i="30" l="1"/>
  <c r="I182" i="30"/>
  <c r="M182" i="30"/>
  <c r="K182" i="30"/>
  <c r="J182" i="30"/>
  <c r="O182" i="30"/>
  <c r="H183" i="30"/>
  <c r="L183" i="30" l="1"/>
  <c r="I183" i="30"/>
  <c r="J183" i="30"/>
  <c r="M183" i="30"/>
  <c r="K183" i="30"/>
  <c r="H184" i="30"/>
  <c r="O183" i="30"/>
  <c r="I184" i="30" l="1"/>
  <c r="L184" i="30"/>
  <c r="K184" i="30"/>
  <c r="J184" i="30"/>
  <c r="M184" i="30"/>
  <c r="O184" i="30"/>
  <c r="H185" i="30"/>
  <c r="I185" i="30" l="1"/>
  <c r="L185" i="30"/>
  <c r="J185" i="30"/>
  <c r="M185" i="30"/>
  <c r="K185" i="30"/>
  <c r="O185" i="30"/>
  <c r="H186" i="30"/>
  <c r="L186" i="30" l="1"/>
  <c r="I186" i="30"/>
  <c r="K186" i="30"/>
  <c r="J186" i="30"/>
  <c r="M186" i="30"/>
  <c r="O186" i="30"/>
  <c r="H187" i="30"/>
  <c r="L187" i="30" l="1"/>
  <c r="I187" i="30"/>
  <c r="K187" i="30"/>
  <c r="J187" i="30"/>
  <c r="M187" i="30"/>
  <c r="H188" i="30"/>
  <c r="O187" i="30"/>
  <c r="I188" i="30" l="1"/>
  <c r="L188" i="30"/>
  <c r="J188" i="30"/>
  <c r="K188" i="30"/>
  <c r="M188" i="30"/>
  <c r="O188" i="30"/>
  <c r="H189" i="30"/>
  <c r="I189" i="30" l="1"/>
  <c r="L189" i="30"/>
  <c r="J189" i="30"/>
  <c r="M189" i="30"/>
  <c r="K189" i="30"/>
  <c r="H190" i="30"/>
  <c r="O189" i="30"/>
  <c r="L190" i="30" l="1"/>
  <c r="I190" i="30"/>
  <c r="M190" i="30"/>
  <c r="K190" i="30"/>
  <c r="J190" i="30"/>
  <c r="O190" i="30"/>
  <c r="H191" i="30"/>
  <c r="L191" i="30" l="1"/>
  <c r="I191" i="30"/>
  <c r="J191" i="30"/>
  <c r="K191" i="30"/>
  <c r="M191" i="30"/>
  <c r="H192" i="30"/>
  <c r="O191" i="30"/>
  <c r="I192" i="30" l="1"/>
  <c r="L192" i="30"/>
  <c r="M192" i="30"/>
  <c r="K192" i="30"/>
  <c r="J192" i="30"/>
  <c r="O192" i="30"/>
  <c r="H193" i="30"/>
  <c r="I193" i="30" l="1"/>
  <c r="L193" i="30"/>
  <c r="J193" i="30"/>
  <c r="M193" i="30"/>
  <c r="K193" i="30"/>
  <c r="O193" i="30"/>
  <c r="H194" i="30"/>
  <c r="I194" i="30" l="1"/>
  <c r="L194" i="30"/>
  <c r="K194" i="30"/>
  <c r="J194" i="30"/>
  <c r="M194" i="30"/>
  <c r="O194" i="30"/>
  <c r="H195" i="30"/>
  <c r="L195" i="30" l="1"/>
  <c r="I195" i="30"/>
  <c r="K195" i="30"/>
  <c r="J195" i="30"/>
  <c r="M195" i="30"/>
  <c r="H196" i="30"/>
  <c r="O195" i="30"/>
  <c r="I196" i="30" l="1"/>
  <c r="L196" i="30"/>
  <c r="J196" i="30"/>
  <c r="M196" i="30"/>
  <c r="K196" i="30"/>
  <c r="O196" i="30"/>
  <c r="H197" i="30"/>
  <c r="I197" i="30" l="1"/>
  <c r="L197" i="30"/>
  <c r="K197" i="30"/>
  <c r="M197" i="30"/>
  <c r="J197" i="30"/>
  <c r="H198" i="30"/>
  <c r="O197" i="30"/>
  <c r="I198" i="30" l="1"/>
  <c r="L198" i="30"/>
  <c r="M198" i="30"/>
  <c r="K198" i="30"/>
  <c r="J198" i="30"/>
  <c r="O198" i="30"/>
  <c r="H199" i="30"/>
  <c r="L199" i="30" l="1"/>
  <c r="I199" i="30"/>
  <c r="K199" i="30"/>
  <c r="M199" i="30"/>
  <c r="J199" i="30"/>
  <c r="H200" i="30"/>
  <c r="O199" i="30"/>
  <c r="L200" i="30" l="1"/>
  <c r="I200" i="30"/>
  <c r="K200" i="30"/>
  <c r="J200" i="30"/>
  <c r="M200" i="30"/>
  <c r="O200" i="30"/>
  <c r="H201" i="30"/>
  <c r="I201" i="30" l="1"/>
  <c r="L201" i="30"/>
  <c r="J201" i="30"/>
  <c r="K201" i="30"/>
  <c r="M201" i="30"/>
  <c r="O201" i="30"/>
  <c r="H202" i="30"/>
  <c r="I202" i="30" l="1"/>
  <c r="L202" i="30"/>
  <c r="K202" i="30"/>
  <c r="J202" i="30"/>
  <c r="M202" i="30"/>
  <c r="O202" i="30"/>
  <c r="H203" i="30"/>
  <c r="L203" i="30" l="1"/>
  <c r="I203" i="30"/>
  <c r="K203" i="30"/>
  <c r="J203" i="30"/>
  <c r="M203" i="30"/>
  <c r="H204" i="30"/>
  <c r="O203" i="30"/>
  <c r="I204" i="30" l="1"/>
  <c r="L204" i="30"/>
  <c r="J204" i="30"/>
  <c r="M204" i="30"/>
  <c r="K204" i="30"/>
  <c r="O204" i="30"/>
  <c r="H205" i="30"/>
  <c r="I205" i="30" l="1"/>
  <c r="L205" i="30"/>
  <c r="J205" i="30"/>
  <c r="M205" i="30"/>
  <c r="K205" i="30"/>
  <c r="H206" i="30"/>
  <c r="O205" i="30"/>
  <c r="I206" i="30" l="1"/>
  <c r="L206" i="30"/>
  <c r="M206" i="30"/>
  <c r="K206" i="30"/>
  <c r="J206" i="30"/>
  <c r="O206" i="30"/>
  <c r="H207" i="30"/>
  <c r="I207" i="30" l="1"/>
  <c r="L207" i="30"/>
  <c r="J207" i="30"/>
  <c r="M207" i="30"/>
  <c r="K207" i="30"/>
  <c r="H208" i="30"/>
  <c r="O207" i="30"/>
  <c r="I208" i="30" l="1"/>
  <c r="L208" i="30"/>
  <c r="J208" i="30"/>
  <c r="K208" i="30"/>
  <c r="M208" i="30"/>
  <c r="O208" i="30"/>
  <c r="H209" i="30"/>
  <c r="L209" i="30" l="1"/>
  <c r="I209" i="30"/>
  <c r="J209" i="30"/>
  <c r="M209" i="30"/>
  <c r="K209" i="30"/>
  <c r="O209" i="30"/>
  <c r="H210" i="30"/>
  <c r="I210" i="30" l="1"/>
  <c r="L210" i="30"/>
  <c r="K210" i="30"/>
  <c r="M210" i="30"/>
  <c r="J210" i="30"/>
  <c r="O210" i="30"/>
  <c r="H211" i="30"/>
  <c r="L211" i="30" l="1"/>
  <c r="I211" i="30"/>
  <c r="K211" i="30"/>
  <c r="J211" i="30"/>
  <c r="M211" i="30"/>
  <c r="H212" i="30"/>
  <c r="O211" i="30"/>
  <c r="I212" i="30" l="1"/>
  <c r="L212" i="30"/>
  <c r="J212" i="30"/>
  <c r="K212" i="30"/>
  <c r="M212" i="30"/>
  <c r="O212" i="30"/>
  <c r="H213" i="30"/>
  <c r="I213" i="30" l="1"/>
  <c r="L213" i="30"/>
  <c r="K213" i="30"/>
  <c r="M213" i="30"/>
  <c r="J213" i="30"/>
  <c r="H214" i="30"/>
  <c r="O213" i="30"/>
  <c r="L214" i="30" l="1"/>
  <c r="I214" i="30"/>
  <c r="M214" i="30"/>
  <c r="K214" i="30"/>
  <c r="J214" i="30"/>
  <c r="O214" i="30"/>
  <c r="H215" i="30"/>
  <c r="I215" i="30" l="1"/>
  <c r="L215" i="30"/>
  <c r="J215" i="30"/>
  <c r="M215" i="30"/>
  <c r="K215" i="30"/>
  <c r="H216" i="30"/>
  <c r="O215" i="30"/>
  <c r="I216" i="30" l="1"/>
  <c r="L216" i="30"/>
  <c r="K216" i="30"/>
  <c r="J216" i="30"/>
  <c r="M216" i="30"/>
  <c r="O216" i="30"/>
  <c r="H217" i="30"/>
  <c r="I217" i="30" l="1"/>
  <c r="L217" i="30"/>
  <c r="J217" i="30"/>
  <c r="M217" i="30"/>
  <c r="K217" i="30"/>
  <c r="O217" i="30"/>
  <c r="H218" i="30"/>
  <c r="L218" i="30" l="1"/>
  <c r="I218" i="30"/>
  <c r="K218" i="30"/>
  <c r="M218" i="30"/>
  <c r="J218" i="30"/>
  <c r="O218" i="30"/>
  <c r="H219" i="30"/>
  <c r="L219" i="30" l="1"/>
  <c r="I219" i="30"/>
  <c r="K219" i="30"/>
  <c r="J219" i="30"/>
  <c r="M219" i="30"/>
  <c r="H220" i="30"/>
  <c r="O219" i="30"/>
  <c r="I220" i="30" l="1"/>
  <c r="L220" i="30"/>
  <c r="J220" i="30"/>
  <c r="K220" i="30"/>
  <c r="M220" i="30"/>
  <c r="O220" i="30"/>
  <c r="H221" i="30"/>
  <c r="I221" i="30" l="1"/>
  <c r="L221" i="30"/>
  <c r="J221" i="30"/>
  <c r="M221" i="30"/>
  <c r="K221" i="30"/>
  <c r="H222" i="30"/>
  <c r="O221" i="30"/>
  <c r="I222" i="30" l="1"/>
  <c r="L222" i="30"/>
  <c r="M222" i="30"/>
  <c r="K222" i="30"/>
  <c r="J222" i="30"/>
  <c r="O222" i="30"/>
  <c r="H223" i="30"/>
  <c r="I223" i="30" l="1"/>
  <c r="L223" i="30"/>
  <c r="J223" i="30"/>
  <c r="K223" i="30"/>
  <c r="M223" i="30"/>
  <c r="H224" i="30"/>
  <c r="O223" i="30"/>
  <c r="I224" i="30" l="1"/>
  <c r="L224" i="30"/>
  <c r="M224" i="30"/>
  <c r="K224" i="30"/>
  <c r="J224" i="30"/>
  <c r="O224" i="30"/>
  <c r="H225" i="30"/>
  <c r="L225" i="30" l="1"/>
  <c r="I225" i="30"/>
  <c r="J225" i="30"/>
  <c r="K225" i="30"/>
  <c r="M225" i="30"/>
  <c r="O225" i="30"/>
  <c r="H226" i="30"/>
  <c r="I226" i="30" l="1"/>
  <c r="L226" i="30"/>
  <c r="K226" i="30"/>
  <c r="M226" i="30"/>
  <c r="J226" i="30"/>
  <c r="O226" i="30"/>
  <c r="H227" i="30"/>
  <c r="L227" i="30" l="1"/>
  <c r="I227" i="30"/>
  <c r="K227" i="30"/>
  <c r="M227" i="30"/>
  <c r="J227" i="30"/>
  <c r="H228" i="30"/>
  <c r="O227" i="30"/>
  <c r="I228" i="30" l="1"/>
  <c r="L228" i="30"/>
  <c r="J228" i="30"/>
  <c r="M228" i="30"/>
  <c r="K228" i="30"/>
  <c r="O228" i="30"/>
  <c r="H229" i="30"/>
  <c r="I229" i="30" l="1"/>
  <c r="L229" i="30"/>
  <c r="K229" i="30"/>
  <c r="J229" i="30"/>
  <c r="M229" i="30"/>
  <c r="H230" i="30"/>
  <c r="O229" i="30"/>
  <c r="I230" i="30" l="1"/>
  <c r="L230" i="30"/>
  <c r="M230" i="30"/>
  <c r="K230" i="30"/>
  <c r="J230" i="30"/>
  <c r="O230" i="30"/>
  <c r="H231" i="30"/>
  <c r="I231" i="30" l="1"/>
  <c r="L231" i="30"/>
  <c r="M231" i="30"/>
  <c r="K231" i="30"/>
  <c r="J231" i="30"/>
  <c r="H232" i="30"/>
  <c r="O231" i="30"/>
  <c r="L232" i="30" l="1"/>
  <c r="I232" i="30"/>
  <c r="K232" i="30"/>
  <c r="J232" i="30"/>
  <c r="M232" i="30"/>
  <c r="O232" i="30"/>
  <c r="H233" i="30"/>
  <c r="I233" i="30" l="1"/>
  <c r="L233" i="30"/>
  <c r="J233" i="30"/>
  <c r="K233" i="30"/>
  <c r="M233" i="30"/>
  <c r="O233" i="30"/>
  <c r="H234" i="30"/>
  <c r="I234" i="30" l="1"/>
  <c r="L234" i="30"/>
  <c r="K234" i="30"/>
  <c r="J234" i="30"/>
  <c r="M234" i="30"/>
  <c r="O234" i="30"/>
  <c r="H235" i="30"/>
  <c r="L235" i="30" l="1"/>
  <c r="I235" i="30"/>
  <c r="K235" i="30"/>
  <c r="J235" i="30"/>
  <c r="M235" i="30"/>
  <c r="H236" i="30"/>
  <c r="O235" i="30"/>
  <c r="I236" i="30" l="1"/>
  <c r="L236" i="30"/>
  <c r="J236" i="30"/>
  <c r="M236" i="30"/>
  <c r="K236" i="30"/>
  <c r="O236" i="30"/>
  <c r="H237" i="30"/>
  <c r="I237" i="30" l="1"/>
  <c r="L237" i="30"/>
  <c r="J237" i="30"/>
  <c r="M237" i="30"/>
  <c r="K237" i="30"/>
  <c r="H238" i="30"/>
  <c r="O237" i="30"/>
  <c r="I238" i="30" l="1"/>
  <c r="L238" i="30"/>
  <c r="M238" i="30"/>
  <c r="K238" i="30"/>
  <c r="J238" i="30"/>
  <c r="O238" i="30"/>
  <c r="H239" i="30"/>
  <c r="I239" i="30" l="1"/>
  <c r="L239" i="30"/>
  <c r="J239" i="30"/>
  <c r="M239" i="30"/>
  <c r="K239" i="30"/>
  <c r="H240" i="30"/>
  <c r="O239" i="30"/>
  <c r="I240" i="30" l="1"/>
  <c r="L240" i="30"/>
  <c r="K240" i="30"/>
  <c r="M240" i="30"/>
  <c r="J240" i="30"/>
  <c r="O240" i="30"/>
  <c r="H241" i="30"/>
  <c r="L241" i="30" l="1"/>
  <c r="I241" i="30"/>
  <c r="J241" i="30"/>
  <c r="K241" i="30"/>
  <c r="M241" i="30"/>
  <c r="O241" i="30"/>
  <c r="H242" i="30"/>
  <c r="L242" i="30" l="1"/>
  <c r="I242" i="30"/>
  <c r="K242" i="30"/>
  <c r="M242" i="30"/>
  <c r="J242" i="30"/>
  <c r="O242" i="30"/>
  <c r="H243" i="30"/>
  <c r="L243" i="30" l="1"/>
  <c r="I243" i="30"/>
  <c r="K243" i="30"/>
  <c r="J243" i="30"/>
  <c r="M243" i="30"/>
  <c r="H244" i="30"/>
  <c r="O243" i="30"/>
  <c r="I244" i="30" l="1"/>
  <c r="L244" i="30"/>
  <c r="J244" i="30"/>
  <c r="K244" i="30"/>
  <c r="M244" i="30"/>
  <c r="O244" i="30"/>
  <c r="H245" i="30"/>
  <c r="I245" i="30" l="1"/>
  <c r="L245" i="30"/>
  <c r="K245" i="30"/>
  <c r="M245" i="30"/>
  <c r="J245" i="30"/>
  <c r="H246" i="30"/>
  <c r="O245" i="30"/>
  <c r="L246" i="30" l="1"/>
  <c r="I246" i="30"/>
  <c r="M246" i="30"/>
  <c r="K246" i="30"/>
  <c r="J246" i="30"/>
  <c r="O246" i="30"/>
  <c r="H247" i="30"/>
  <c r="L247" i="30" l="1"/>
  <c r="I247" i="30"/>
  <c r="K247" i="30"/>
  <c r="J247" i="30"/>
  <c r="M247" i="30"/>
  <c r="H248" i="30"/>
  <c r="O247" i="30"/>
  <c r="I248" i="30" l="1"/>
  <c r="L248" i="30"/>
  <c r="K248" i="30"/>
  <c r="J248" i="30"/>
  <c r="M248" i="30"/>
  <c r="O248" i="30"/>
  <c r="H249" i="30"/>
  <c r="I249" i="30" l="1"/>
  <c r="L249" i="30"/>
  <c r="J249" i="30"/>
  <c r="M249" i="30"/>
  <c r="K249" i="30"/>
  <c r="O249" i="30"/>
  <c r="H250" i="30"/>
  <c r="L250" i="30" l="1"/>
  <c r="I250" i="30"/>
  <c r="K250" i="30"/>
  <c r="J250" i="30"/>
  <c r="M250" i="30"/>
  <c r="O250" i="30"/>
  <c r="H251" i="30"/>
  <c r="L251" i="30" l="1"/>
  <c r="I251" i="30"/>
  <c r="K251" i="30"/>
  <c r="J251" i="30"/>
  <c r="M251" i="30"/>
  <c r="H252" i="30"/>
  <c r="O251" i="30"/>
  <c r="I252" i="30" l="1"/>
  <c r="L252" i="30"/>
  <c r="J252" i="30"/>
  <c r="K252" i="30"/>
  <c r="M252" i="30"/>
  <c r="O252" i="30"/>
  <c r="H253" i="30"/>
  <c r="I253" i="30" l="1"/>
  <c r="L253" i="30"/>
  <c r="J253" i="30"/>
  <c r="M253" i="30"/>
  <c r="K253" i="30"/>
  <c r="H254" i="30"/>
  <c r="O253" i="30"/>
  <c r="I254" i="30" l="1"/>
  <c r="L254" i="30"/>
  <c r="M254" i="30"/>
  <c r="K254" i="30"/>
  <c r="J254" i="30"/>
  <c r="O254" i="30"/>
  <c r="H255" i="30"/>
  <c r="L255" i="30" l="1"/>
  <c r="I255" i="30"/>
  <c r="J255" i="30"/>
  <c r="K255" i="30"/>
  <c r="M255" i="30"/>
  <c r="H256" i="30"/>
  <c r="O255" i="30"/>
  <c r="I256" i="30" l="1"/>
  <c r="L256" i="30"/>
  <c r="M256" i="30"/>
  <c r="J256" i="30"/>
  <c r="K256" i="30"/>
  <c r="O256" i="30"/>
  <c r="H257" i="30"/>
  <c r="I257" i="30" l="1"/>
  <c r="L257" i="30"/>
  <c r="J257" i="30"/>
  <c r="K257" i="30"/>
  <c r="M257" i="30"/>
  <c r="O257" i="30"/>
  <c r="H258" i="30"/>
  <c r="I258" i="30" l="1"/>
  <c r="L258" i="30"/>
  <c r="K258" i="30"/>
  <c r="J258" i="30"/>
  <c r="M258" i="30"/>
  <c r="O258" i="30"/>
  <c r="H259" i="30"/>
  <c r="L259" i="30" l="1"/>
  <c r="I259" i="30"/>
  <c r="K259" i="30"/>
  <c r="J259" i="30"/>
  <c r="M259" i="30"/>
  <c r="H260" i="30"/>
  <c r="O259" i="30"/>
  <c r="I260" i="30" l="1"/>
  <c r="L260" i="30"/>
  <c r="J260" i="30"/>
  <c r="M260" i="30"/>
  <c r="K260" i="30"/>
  <c r="O260" i="30"/>
  <c r="H261" i="30"/>
  <c r="I261" i="30" l="1"/>
  <c r="L261" i="30"/>
  <c r="K261" i="30"/>
  <c r="J261" i="30"/>
  <c r="M261" i="30"/>
  <c r="H262" i="30"/>
  <c r="O261" i="30"/>
  <c r="L262" i="30" l="1"/>
  <c r="I262" i="30"/>
  <c r="M262" i="30"/>
  <c r="K262" i="30"/>
  <c r="J262" i="30"/>
  <c r="O262" i="30"/>
  <c r="H263" i="30"/>
  <c r="L263" i="30" l="1"/>
  <c r="I263" i="30"/>
  <c r="K263" i="30"/>
  <c r="M263" i="30"/>
  <c r="J263" i="30"/>
  <c r="H264" i="30"/>
  <c r="O263" i="30"/>
  <c r="L264" i="30" l="1"/>
  <c r="I264" i="30"/>
  <c r="K264" i="30"/>
  <c r="J264" i="30"/>
  <c r="M264" i="30"/>
  <c r="O264" i="30"/>
  <c r="H265" i="30"/>
  <c r="I265" i="30" l="1"/>
  <c r="L265" i="30"/>
  <c r="J265" i="30"/>
  <c r="K265" i="30"/>
  <c r="M265" i="30"/>
  <c r="O265" i="30"/>
  <c r="H266" i="30"/>
  <c r="I266" i="30" l="1"/>
  <c r="L266" i="30"/>
  <c r="K266" i="30"/>
  <c r="J266" i="30"/>
  <c r="M266" i="30"/>
  <c r="O266" i="30"/>
  <c r="H267" i="30"/>
  <c r="L267" i="30" l="1"/>
  <c r="I267" i="30"/>
  <c r="K267" i="30"/>
  <c r="J267" i="30"/>
  <c r="M267" i="30"/>
  <c r="H268" i="30"/>
  <c r="O267" i="30"/>
  <c r="I268" i="30" l="1"/>
  <c r="L268" i="30"/>
  <c r="J268" i="30"/>
  <c r="M268" i="30"/>
  <c r="K268" i="30"/>
  <c r="O268" i="30"/>
  <c r="H269" i="30"/>
  <c r="I269" i="30" l="1"/>
  <c r="L269" i="30"/>
  <c r="J269" i="30"/>
  <c r="M269" i="30"/>
  <c r="K269" i="30"/>
  <c r="H270" i="30"/>
  <c r="O269" i="30"/>
  <c r="I270" i="30" l="1"/>
  <c r="L270" i="30"/>
  <c r="M270" i="30"/>
  <c r="K270" i="30"/>
  <c r="J270" i="30"/>
  <c r="O270" i="30"/>
  <c r="H271" i="30"/>
  <c r="I271" i="30" l="1"/>
  <c r="L271" i="30"/>
  <c r="J271" i="30"/>
  <c r="M271" i="30"/>
  <c r="K271" i="30"/>
  <c r="H272" i="30"/>
  <c r="O271" i="30"/>
  <c r="I272" i="30" l="1"/>
  <c r="L272" i="30"/>
  <c r="J272" i="30"/>
  <c r="K272" i="30"/>
  <c r="M272" i="30"/>
  <c r="O272" i="30"/>
  <c r="H273" i="30"/>
  <c r="I273" i="30" l="1"/>
  <c r="L273" i="30"/>
  <c r="J273" i="30"/>
  <c r="M273" i="30"/>
  <c r="K273" i="30"/>
  <c r="O273" i="30"/>
  <c r="H274" i="30"/>
  <c r="I274" i="30" l="1"/>
  <c r="L274" i="30"/>
  <c r="K274" i="30"/>
  <c r="M274" i="30"/>
  <c r="J274" i="30"/>
  <c r="O274" i="30"/>
  <c r="H275" i="30"/>
  <c r="L275" i="30" l="1"/>
  <c r="I275" i="30"/>
  <c r="K275" i="30"/>
  <c r="J275" i="30"/>
  <c r="M275" i="30"/>
  <c r="H276" i="30"/>
  <c r="O275" i="30"/>
  <c r="I276" i="30" l="1"/>
  <c r="L276" i="30"/>
  <c r="J276" i="30"/>
  <c r="M276" i="30"/>
  <c r="K276" i="30"/>
  <c r="O276" i="30"/>
  <c r="H277" i="30"/>
  <c r="I277" i="30" l="1"/>
  <c r="L277" i="30"/>
  <c r="K277" i="30"/>
  <c r="M277" i="30"/>
  <c r="J277" i="30"/>
  <c r="H278" i="30"/>
  <c r="O277" i="30"/>
  <c r="L278" i="30" l="1"/>
  <c r="I278" i="30"/>
  <c r="M278" i="30"/>
  <c r="K278" i="30"/>
  <c r="J278" i="30"/>
  <c r="O278" i="30"/>
  <c r="H279" i="30"/>
  <c r="I279" i="30" l="1"/>
  <c r="L279" i="30"/>
  <c r="J279" i="30"/>
  <c r="M279" i="30"/>
  <c r="K279" i="30"/>
  <c r="H280" i="30"/>
  <c r="O279" i="30"/>
  <c r="I280" i="30" l="1"/>
  <c r="L280" i="30"/>
  <c r="K280" i="30"/>
  <c r="J280" i="30"/>
  <c r="M280" i="30"/>
  <c r="O280" i="30"/>
  <c r="H281" i="30"/>
  <c r="I281" i="30" l="1"/>
  <c r="L281" i="30"/>
  <c r="J281" i="30"/>
  <c r="K281" i="30"/>
  <c r="M281" i="30"/>
  <c r="H282" i="30"/>
  <c r="O281" i="30"/>
  <c r="I282" i="30" l="1"/>
  <c r="L282" i="30"/>
  <c r="K282" i="30"/>
  <c r="J282" i="30"/>
  <c r="M282" i="30"/>
  <c r="O282" i="30"/>
  <c r="H283" i="30"/>
  <c r="L283" i="30" l="1"/>
  <c r="I283" i="30"/>
  <c r="K283" i="30"/>
  <c r="J283" i="30"/>
  <c r="M283" i="30"/>
  <c r="H284" i="30"/>
  <c r="O283" i="30"/>
  <c r="I284" i="30" l="1"/>
  <c r="L284" i="30"/>
  <c r="J284" i="30"/>
  <c r="K284" i="30"/>
  <c r="M284" i="30"/>
  <c r="O284" i="30"/>
  <c r="H285" i="30"/>
  <c r="I285" i="30" l="1"/>
  <c r="L285" i="30"/>
  <c r="M285" i="30"/>
  <c r="J285" i="30"/>
  <c r="K285" i="30"/>
  <c r="O285" i="30"/>
  <c r="H286" i="30"/>
  <c r="I286" i="30" l="1"/>
  <c r="L286" i="30"/>
  <c r="M286" i="30"/>
  <c r="K286" i="30"/>
  <c r="J286" i="30"/>
  <c r="O286" i="30"/>
  <c r="H287" i="30"/>
  <c r="I287" i="30" l="1"/>
  <c r="L287" i="30"/>
  <c r="J287" i="30"/>
  <c r="M287" i="30"/>
  <c r="K287" i="30"/>
  <c r="H288" i="30"/>
  <c r="O287" i="30"/>
  <c r="I288" i="30" l="1"/>
  <c r="L288" i="30"/>
  <c r="J288" i="30"/>
  <c r="K288" i="30"/>
  <c r="M288" i="30"/>
  <c r="O288" i="30"/>
  <c r="H289" i="30"/>
  <c r="I289" i="30" l="1"/>
  <c r="L289" i="30"/>
  <c r="J289" i="30"/>
  <c r="K289" i="30"/>
  <c r="M289" i="30"/>
  <c r="O289" i="30"/>
  <c r="H290" i="30"/>
  <c r="I290" i="30" l="1"/>
  <c r="L290" i="30"/>
  <c r="K290" i="30"/>
  <c r="J290" i="30"/>
  <c r="M290" i="30"/>
  <c r="O290" i="30"/>
  <c r="H291" i="30"/>
  <c r="L291" i="30" l="1"/>
  <c r="I291" i="30"/>
  <c r="K291" i="30"/>
  <c r="M291" i="30"/>
  <c r="J291" i="30"/>
  <c r="H292" i="30"/>
  <c r="O291" i="30"/>
  <c r="I292" i="30" l="1"/>
  <c r="L292" i="30"/>
  <c r="J292" i="30"/>
  <c r="K292" i="30"/>
  <c r="M292" i="30"/>
  <c r="O292" i="30"/>
  <c r="H293" i="30"/>
  <c r="I293" i="30" l="1"/>
  <c r="L293" i="30"/>
  <c r="M293" i="30"/>
  <c r="K293" i="30"/>
  <c r="J293" i="30"/>
  <c r="O293" i="30"/>
  <c r="H294" i="30"/>
  <c r="I294" i="30" l="1"/>
  <c r="L294" i="30"/>
  <c r="M294" i="30"/>
  <c r="K294" i="30"/>
  <c r="J294" i="30"/>
  <c r="O294" i="30"/>
  <c r="H295" i="30"/>
  <c r="I295" i="30" l="1"/>
  <c r="L295" i="30"/>
  <c r="J295" i="30"/>
  <c r="M295" i="30"/>
  <c r="K295" i="30"/>
  <c r="H296" i="30"/>
  <c r="O295" i="30"/>
  <c r="L296" i="30" l="1"/>
  <c r="I296" i="30"/>
  <c r="J296" i="30"/>
  <c r="K296" i="30"/>
  <c r="M296" i="30"/>
  <c r="O296" i="30"/>
  <c r="H297" i="30"/>
  <c r="I297" i="30" l="1"/>
  <c r="L297" i="30"/>
  <c r="J297" i="30"/>
  <c r="M297" i="30"/>
  <c r="K297" i="30"/>
  <c r="O297" i="30"/>
  <c r="H298" i="30"/>
  <c r="I298" i="30" l="1"/>
  <c r="L298" i="30"/>
  <c r="K298" i="30"/>
  <c r="J298" i="30"/>
  <c r="M298" i="30"/>
  <c r="O298" i="30"/>
  <c r="H299" i="30"/>
  <c r="L299" i="30" l="1"/>
  <c r="I299" i="30"/>
  <c r="K299" i="30"/>
  <c r="J299" i="30"/>
  <c r="M299" i="30"/>
  <c r="H300" i="30"/>
  <c r="O299" i="30"/>
  <c r="I300" i="30" l="1"/>
  <c r="L300" i="30"/>
  <c r="J300" i="30"/>
  <c r="M300" i="30"/>
  <c r="K300" i="30"/>
  <c r="O300" i="30"/>
  <c r="H301" i="30"/>
  <c r="I301" i="30" l="1"/>
  <c r="L301" i="30"/>
  <c r="M301" i="30"/>
  <c r="K301" i="30"/>
  <c r="J301" i="30"/>
  <c r="O301" i="30"/>
  <c r="H302" i="30"/>
  <c r="I302" i="30" l="1"/>
  <c r="L302" i="30"/>
  <c r="M302" i="30"/>
  <c r="K302" i="30"/>
  <c r="J302" i="30"/>
  <c r="O302" i="30"/>
  <c r="H303" i="30"/>
  <c r="I303" i="30" l="1"/>
  <c r="L303" i="30"/>
  <c r="M303" i="30"/>
  <c r="J303" i="30"/>
  <c r="K303" i="30"/>
  <c r="H304" i="30"/>
  <c r="O303" i="30"/>
  <c r="L304" i="30" l="1"/>
  <c r="I304" i="30"/>
  <c r="J304" i="30"/>
  <c r="K304" i="30"/>
  <c r="M304" i="30"/>
  <c r="O304" i="30"/>
  <c r="H305" i="30"/>
  <c r="L305" i="30" l="1"/>
  <c r="I305" i="30"/>
  <c r="J305" i="30"/>
  <c r="M305" i="30"/>
  <c r="K305" i="30"/>
  <c r="O305" i="30"/>
  <c r="H306" i="30"/>
  <c r="L306" i="30" l="1"/>
  <c r="I306" i="30"/>
  <c r="K306" i="30"/>
  <c r="M306" i="30"/>
  <c r="J306" i="30"/>
  <c r="O306" i="30"/>
  <c r="H307" i="30"/>
  <c r="L307" i="30" l="1"/>
  <c r="I307" i="30"/>
  <c r="K307" i="30"/>
  <c r="J307" i="30"/>
  <c r="M307" i="30"/>
  <c r="H308" i="30"/>
  <c r="O307" i="30"/>
  <c r="I308" i="30" l="1"/>
  <c r="L308" i="30"/>
  <c r="J308" i="30"/>
  <c r="M308" i="30"/>
  <c r="K308" i="30"/>
  <c r="O308" i="30"/>
  <c r="H309" i="30"/>
  <c r="I309" i="30" l="1"/>
  <c r="L309" i="30"/>
  <c r="M309" i="30"/>
  <c r="K309" i="30"/>
  <c r="J309" i="30"/>
  <c r="O309" i="30"/>
  <c r="H310" i="30"/>
  <c r="I310" i="30" l="1"/>
  <c r="L310" i="30"/>
  <c r="M310" i="30"/>
  <c r="K310" i="30"/>
  <c r="J310" i="30"/>
  <c r="O310" i="30"/>
  <c r="H311" i="30"/>
  <c r="I311" i="30" l="1"/>
  <c r="L311" i="30"/>
  <c r="M311" i="30"/>
  <c r="J311" i="30"/>
  <c r="K311" i="30"/>
  <c r="H312" i="30"/>
  <c r="O311" i="30"/>
  <c r="I312" i="30" l="1"/>
  <c r="L312" i="30"/>
  <c r="J312" i="30"/>
  <c r="K312" i="30"/>
  <c r="M312" i="30"/>
  <c r="O312" i="30"/>
  <c r="H313" i="30"/>
  <c r="I313" i="30" l="1"/>
  <c r="L313" i="30"/>
  <c r="J313" i="30"/>
  <c r="K313" i="30"/>
  <c r="M313" i="30"/>
  <c r="O313" i="30"/>
  <c r="H314" i="30"/>
  <c r="L314" i="30" l="1"/>
  <c r="I314" i="30"/>
  <c r="K314" i="30"/>
  <c r="J314" i="30"/>
  <c r="M314" i="30"/>
  <c r="O314" i="30"/>
  <c r="H315" i="30"/>
  <c r="L315" i="30" l="1"/>
  <c r="I315" i="30"/>
  <c r="K315" i="30"/>
  <c r="I13" i="30"/>
  <c r="M315" i="30"/>
  <c r="J315" i="30"/>
  <c r="J13" i="30" s="1"/>
  <c r="O315" i="30"/>
  <c r="K13" i="30" l="1"/>
  <c r="O28" i="30" l="1"/>
  <c r="O26" i="30"/>
  <c r="O29" i="30"/>
  <c r="O27" i="30"/>
  <c r="Z30" i="30" l="1"/>
  <c r="Z34" i="30" s="1"/>
  <c r="D37" i="30" s="1"/>
  <c r="U63" i="30" l="1"/>
  <c r="D38" i="30" s="1"/>
  <c r="E37" i="30" s="1"/>
  <c r="V55" i="30"/>
  <c r="D33" i="28" l="1"/>
  <c r="D32" i="28"/>
  <c r="X57" i="28" s="1"/>
  <c r="Y55" i="28" s="1"/>
  <c r="D31" i="28"/>
  <c r="D24" i="28"/>
  <c r="U17" i="28"/>
  <c r="H19" i="28" s="1"/>
  <c r="H20" i="28" s="1"/>
  <c r="N17" i="28"/>
  <c r="P17" i="28" s="1"/>
  <c r="H12" i="28"/>
  <c r="D33" i="27"/>
  <c r="U17" i="27" s="1"/>
  <c r="D32" i="27"/>
  <c r="X57" i="27" s="1"/>
  <c r="Y55" i="27" s="1"/>
  <c r="D31" i="27"/>
  <c r="D24" i="27"/>
  <c r="N17" i="27"/>
  <c r="I17" i="27" s="1"/>
  <c r="H12" i="27"/>
  <c r="D33" i="26"/>
  <c r="U17" i="26" s="1"/>
  <c r="D32" i="26"/>
  <c r="X57" i="26" s="1"/>
  <c r="Y55" i="26" s="1"/>
  <c r="D31" i="26"/>
  <c r="D24" i="26"/>
  <c r="N17" i="26"/>
  <c r="H12" i="26"/>
  <c r="D31" i="18"/>
  <c r="D30" i="18"/>
  <c r="D22" i="18"/>
  <c r="L18" i="27" l="1"/>
  <c r="I17" i="26"/>
  <c r="P17" i="26" s="1"/>
  <c r="L18" i="28"/>
  <c r="I17" i="28"/>
  <c r="J17" i="28" s="1"/>
  <c r="H21" i="28"/>
  <c r="H19" i="27"/>
  <c r="P17" i="27"/>
  <c r="J18" i="26"/>
  <c r="L18" i="26"/>
  <c r="H19" i="26"/>
  <c r="H10" i="18"/>
  <c r="V55" i="18"/>
  <c r="H22" i="28" l="1"/>
  <c r="H20" i="27"/>
  <c r="J19" i="26"/>
  <c r="H20" i="26"/>
  <c r="S15" i="18"/>
  <c r="K18" i="28" l="1"/>
  <c r="M18" i="28" s="1"/>
  <c r="N18" i="28" s="1"/>
  <c r="L19" i="28" s="1"/>
  <c r="H23" i="28"/>
  <c r="H21" i="27"/>
  <c r="J20" i="26"/>
  <c r="H21" i="26"/>
  <c r="H17" i="18"/>
  <c r="K19" i="28" l="1"/>
  <c r="M19" i="28" s="1"/>
  <c r="N19" i="28" s="1"/>
  <c r="P18" i="28"/>
  <c r="H24" i="28"/>
  <c r="H22" i="27"/>
  <c r="J21" i="26"/>
  <c r="H22" i="26"/>
  <c r="H18" i="18"/>
  <c r="H25" i="28" l="1"/>
  <c r="P19" i="28"/>
  <c r="L20" i="28"/>
  <c r="H23" i="27"/>
  <c r="J22" i="26"/>
  <c r="H23" i="26"/>
  <c r="H19" i="18"/>
  <c r="H26" i="28" l="1"/>
  <c r="H24" i="27"/>
  <c r="J23" i="26"/>
  <c r="H24" i="26"/>
  <c r="H20" i="18"/>
  <c r="K20" i="28" l="1"/>
  <c r="H27" i="28"/>
  <c r="H25" i="27"/>
  <c r="K18" i="26"/>
  <c r="J24" i="26"/>
  <c r="H25" i="26"/>
  <c r="H21" i="18"/>
  <c r="P20" i="28" l="1"/>
  <c r="M20" i="28"/>
  <c r="N20" i="28" s="1"/>
  <c r="L21" i="28" s="1"/>
  <c r="K21" i="28"/>
  <c r="H28" i="28"/>
  <c r="H26" i="27"/>
  <c r="P18" i="26"/>
  <c r="M18" i="26"/>
  <c r="N18" i="26" s="1"/>
  <c r="L19" i="26" s="1"/>
  <c r="K19" i="26" s="1"/>
  <c r="J25" i="26"/>
  <c r="H26" i="26"/>
  <c r="H22" i="18"/>
  <c r="M21" i="28" l="1"/>
  <c r="N21" i="28" s="1"/>
  <c r="L22" i="28" s="1"/>
  <c r="P21" i="28"/>
  <c r="H29" i="28"/>
  <c r="H27" i="27"/>
  <c r="P19" i="26"/>
  <c r="M19" i="26"/>
  <c r="N19" i="26" s="1"/>
  <c r="J26" i="26"/>
  <c r="H27" i="26"/>
  <c r="H23" i="18"/>
  <c r="H30" i="28" l="1"/>
  <c r="H28" i="27"/>
  <c r="L20" i="26"/>
  <c r="K20" i="26" s="1"/>
  <c r="J27" i="26"/>
  <c r="H28" i="26"/>
  <c r="H24" i="18"/>
  <c r="K22" i="28" l="1"/>
  <c r="H31" i="28"/>
  <c r="H29" i="27"/>
  <c r="P20" i="26"/>
  <c r="M20" i="26"/>
  <c r="N20" i="26" s="1"/>
  <c r="L21" i="26" s="1"/>
  <c r="K21" i="26"/>
  <c r="J28" i="26"/>
  <c r="H29" i="26"/>
  <c r="H25" i="18"/>
  <c r="P22" i="28" l="1"/>
  <c r="M22" i="28"/>
  <c r="N22" i="28" s="1"/>
  <c r="L23" i="28" s="1"/>
  <c r="K23" i="28"/>
  <c r="H32" i="28"/>
  <c r="H30" i="27"/>
  <c r="P21" i="26"/>
  <c r="M21" i="26"/>
  <c r="N21" i="26" s="1"/>
  <c r="L22" i="26" s="1"/>
  <c r="K22" i="26"/>
  <c r="J29" i="26"/>
  <c r="H30" i="26"/>
  <c r="H26" i="18"/>
  <c r="P23" i="28" l="1"/>
  <c r="M23" i="28"/>
  <c r="N23" i="28" s="1"/>
  <c r="L24" i="28" s="1"/>
  <c r="K24" i="28"/>
  <c r="H33" i="28"/>
  <c r="H31" i="27"/>
  <c r="P22" i="26"/>
  <c r="M22" i="26"/>
  <c r="N22" i="26" s="1"/>
  <c r="L23" i="26" s="1"/>
  <c r="K23" i="26"/>
  <c r="J30" i="26"/>
  <c r="H31" i="26"/>
  <c r="H27" i="18"/>
  <c r="P24" i="28" l="1"/>
  <c r="M24" i="28"/>
  <c r="N24" i="28" s="1"/>
  <c r="L25" i="28" s="1"/>
  <c r="K25" i="28"/>
  <c r="H34" i="28"/>
  <c r="H32" i="27"/>
  <c r="P23" i="26"/>
  <c r="M23" i="26"/>
  <c r="N23" i="26" s="1"/>
  <c r="L24" i="26" s="1"/>
  <c r="K24" i="26"/>
  <c r="J31" i="26"/>
  <c r="H32" i="26"/>
  <c r="H28" i="18"/>
  <c r="P25" i="28" l="1"/>
  <c r="M25" i="28"/>
  <c r="N25" i="28" s="1"/>
  <c r="L26" i="28" s="1"/>
  <c r="K26" i="28"/>
  <c r="H35" i="28"/>
  <c r="H33" i="27"/>
  <c r="P24" i="26"/>
  <c r="M24" i="26"/>
  <c r="N24" i="26" s="1"/>
  <c r="L25" i="26" s="1"/>
  <c r="K25" i="26"/>
  <c r="J32" i="26"/>
  <c r="H33" i="26"/>
  <c r="H29" i="18"/>
  <c r="P26" i="28" l="1"/>
  <c r="M26" i="28"/>
  <c r="N26" i="28" s="1"/>
  <c r="L27" i="28" s="1"/>
  <c r="K27" i="28"/>
  <c r="H36" i="28"/>
  <c r="H34" i="27"/>
  <c r="P25" i="26"/>
  <c r="M25" i="26"/>
  <c r="N25" i="26" s="1"/>
  <c r="L26" i="26" s="1"/>
  <c r="K26" i="26"/>
  <c r="J33" i="26"/>
  <c r="H34" i="26"/>
  <c r="H30" i="18"/>
  <c r="P27" i="28" l="1"/>
  <c r="M27" i="28"/>
  <c r="N27" i="28" s="1"/>
  <c r="L28" i="28" s="1"/>
  <c r="H37" i="28"/>
  <c r="H35" i="27"/>
  <c r="P26" i="26"/>
  <c r="M26" i="26"/>
  <c r="N26" i="26" s="1"/>
  <c r="L27" i="26" s="1"/>
  <c r="K27" i="26"/>
  <c r="K28" i="26" s="1"/>
  <c r="P28" i="26" s="1"/>
  <c r="J34" i="26"/>
  <c r="H35" i="26"/>
  <c r="H31" i="18"/>
  <c r="K28" i="28" l="1"/>
  <c r="H38" i="28"/>
  <c r="H36" i="27"/>
  <c r="P27" i="26"/>
  <c r="M27" i="26"/>
  <c r="N27" i="26" s="1"/>
  <c r="L28" i="26" s="1"/>
  <c r="M28" i="26" s="1"/>
  <c r="N28" i="26" s="1"/>
  <c r="L29" i="26" s="1"/>
  <c r="K29" i="26"/>
  <c r="P29" i="26" s="1"/>
  <c r="J35" i="26"/>
  <c r="H36" i="26"/>
  <c r="H32" i="18"/>
  <c r="M29" i="26" l="1"/>
  <c r="N29" i="26" s="1"/>
  <c r="L30" i="26" s="1"/>
  <c r="P28" i="28"/>
  <c r="M28" i="28"/>
  <c r="N28" i="28" s="1"/>
  <c r="L29" i="28" s="1"/>
  <c r="K29" i="28"/>
  <c r="H39" i="28"/>
  <c r="H37" i="27"/>
  <c r="J36" i="26"/>
  <c r="H37" i="26"/>
  <c r="H33" i="18"/>
  <c r="P29" i="28" l="1"/>
  <c r="M29" i="28"/>
  <c r="N29" i="28" s="1"/>
  <c r="L30" i="28" s="1"/>
  <c r="K30" i="28"/>
  <c r="H40" i="28"/>
  <c r="H38" i="27"/>
  <c r="J37" i="26"/>
  <c r="H38" i="26"/>
  <c r="H34" i="18"/>
  <c r="P30" i="28" l="1"/>
  <c r="M30" i="28"/>
  <c r="N30" i="28" s="1"/>
  <c r="L31" i="28" s="1"/>
  <c r="K31" i="28"/>
  <c r="H41" i="28"/>
  <c r="H39" i="27"/>
  <c r="K30" i="26"/>
  <c r="J38" i="26"/>
  <c r="H39" i="26"/>
  <c r="H35" i="18"/>
  <c r="P31" i="28" l="1"/>
  <c r="M31" i="28"/>
  <c r="N31" i="28" s="1"/>
  <c r="L32" i="28" s="1"/>
  <c r="K32" i="28"/>
  <c r="H42" i="28"/>
  <c r="H40" i="27"/>
  <c r="P30" i="26"/>
  <c r="M30" i="26"/>
  <c r="N30" i="26" s="1"/>
  <c r="L31" i="26" s="1"/>
  <c r="J39" i="26"/>
  <c r="H40" i="26"/>
  <c r="H36" i="18"/>
  <c r="P32" i="28" l="1"/>
  <c r="M32" i="28"/>
  <c r="N32" i="28" s="1"/>
  <c r="L33" i="28" s="1"/>
  <c r="K33" i="28"/>
  <c r="H43" i="28"/>
  <c r="H41" i="27"/>
  <c r="K31" i="26"/>
  <c r="J40" i="26"/>
  <c r="H41" i="26"/>
  <c r="H37" i="18"/>
  <c r="P33" i="28" l="1"/>
  <c r="M33" i="28"/>
  <c r="N33" i="28" s="1"/>
  <c r="L34" i="28" s="1"/>
  <c r="H44" i="28"/>
  <c r="H42" i="27"/>
  <c r="P31" i="26"/>
  <c r="M31" i="26"/>
  <c r="N31" i="26" s="1"/>
  <c r="L32" i="26" s="1"/>
  <c r="K32" i="26"/>
  <c r="K33" i="26" s="1"/>
  <c r="P33" i="26" s="1"/>
  <c r="J41" i="26"/>
  <c r="H42" i="26"/>
  <c r="H38" i="18"/>
  <c r="K34" i="28" l="1"/>
  <c r="H45" i="28"/>
  <c r="H43" i="27"/>
  <c r="P32" i="26"/>
  <c r="M32" i="26"/>
  <c r="N32" i="26" s="1"/>
  <c r="L33" i="26" s="1"/>
  <c r="M33" i="26" s="1"/>
  <c r="N33" i="26" s="1"/>
  <c r="L34" i="26" s="1"/>
  <c r="J42" i="26"/>
  <c r="H43" i="26"/>
  <c r="H39" i="18"/>
  <c r="P34" i="28" l="1"/>
  <c r="M34" i="28"/>
  <c r="N34" i="28" s="1"/>
  <c r="L35" i="28" s="1"/>
  <c r="H46" i="28"/>
  <c r="H44" i="27"/>
  <c r="K34" i="26"/>
  <c r="J43" i="26"/>
  <c r="H44" i="26"/>
  <c r="H40" i="18"/>
  <c r="K35" i="28" l="1"/>
  <c r="H47" i="28"/>
  <c r="H45" i="27"/>
  <c r="P34" i="26"/>
  <c r="M34" i="26"/>
  <c r="N34" i="26" s="1"/>
  <c r="L35" i="26" s="1"/>
  <c r="K35" i="26"/>
  <c r="K36" i="26" s="1"/>
  <c r="P36" i="26" s="1"/>
  <c r="J44" i="26"/>
  <c r="H45" i="26"/>
  <c r="H41" i="18"/>
  <c r="P35" i="28" l="1"/>
  <c r="M35" i="28"/>
  <c r="N35" i="28" s="1"/>
  <c r="L36" i="28" s="1"/>
  <c r="K48" i="28"/>
  <c r="H48" i="28"/>
  <c r="H46" i="27"/>
  <c r="P35" i="26"/>
  <c r="M35" i="26"/>
  <c r="N35" i="26" s="1"/>
  <c r="L36" i="26" s="1"/>
  <c r="M36" i="26" s="1"/>
  <c r="N36" i="26" s="1"/>
  <c r="L37" i="26" s="1"/>
  <c r="K37" i="26"/>
  <c r="P37" i="26" s="1"/>
  <c r="J45" i="26"/>
  <c r="H46" i="26"/>
  <c r="H42" i="18"/>
  <c r="K36" i="28" l="1"/>
  <c r="K49" i="28"/>
  <c r="P48" i="28"/>
  <c r="H49" i="28"/>
  <c r="H47" i="27"/>
  <c r="M37" i="26"/>
  <c r="N37" i="26" s="1"/>
  <c r="L38" i="26" s="1"/>
  <c r="K38" i="26"/>
  <c r="P38" i="26" s="1"/>
  <c r="J46" i="26"/>
  <c r="H47" i="26"/>
  <c r="H43" i="18"/>
  <c r="P36" i="28" l="1"/>
  <c r="M36" i="28"/>
  <c r="N36" i="28" s="1"/>
  <c r="L37" i="28" s="1"/>
  <c r="K37" i="28"/>
  <c r="K50" i="28"/>
  <c r="H50" i="28"/>
  <c r="P49" i="28"/>
  <c r="H48" i="27"/>
  <c r="M38" i="26"/>
  <c r="N38" i="26" s="1"/>
  <c r="L39" i="26" s="1"/>
  <c r="K39" i="26"/>
  <c r="P39" i="26" s="1"/>
  <c r="J47" i="26"/>
  <c r="H48" i="26"/>
  <c r="H44" i="18"/>
  <c r="P37" i="28" l="1"/>
  <c r="M37" i="28"/>
  <c r="N37" i="28" s="1"/>
  <c r="L38" i="28" s="1"/>
  <c r="K38" i="28"/>
  <c r="K51" i="28"/>
  <c r="P50" i="28"/>
  <c r="H51" i="28"/>
  <c r="H49" i="27"/>
  <c r="M39" i="26"/>
  <c r="N39" i="26" s="1"/>
  <c r="L40" i="26" s="1"/>
  <c r="J48" i="26"/>
  <c r="H49" i="26"/>
  <c r="H45" i="18"/>
  <c r="P38" i="28" l="1"/>
  <c r="M38" i="28"/>
  <c r="N38" i="28" s="1"/>
  <c r="L39" i="28" s="1"/>
  <c r="K39" i="28"/>
  <c r="P51" i="28"/>
  <c r="H52" i="28"/>
  <c r="K52" i="28" s="1"/>
  <c r="H50" i="27"/>
  <c r="K40" i="26"/>
  <c r="K41" i="26" s="1"/>
  <c r="J49" i="26"/>
  <c r="H50" i="26"/>
  <c r="H46" i="18"/>
  <c r="P39" i="28" l="1"/>
  <c r="M39" i="28"/>
  <c r="N39" i="28" s="1"/>
  <c r="L40" i="28" s="1"/>
  <c r="K40" i="28"/>
  <c r="P52" i="28"/>
  <c r="H53" i="28"/>
  <c r="K53" i="28" s="1"/>
  <c r="H51" i="27"/>
  <c r="P41" i="26"/>
  <c r="K42" i="26"/>
  <c r="P40" i="26"/>
  <c r="M40" i="26"/>
  <c r="N40" i="26" s="1"/>
  <c r="L41" i="26" s="1"/>
  <c r="M41" i="26" s="1"/>
  <c r="N41" i="26" s="1"/>
  <c r="L42" i="26" s="1"/>
  <c r="J50" i="26"/>
  <c r="H51" i="26"/>
  <c r="H47" i="18"/>
  <c r="P40" i="28" l="1"/>
  <c r="M40" i="28"/>
  <c r="N40" i="28" s="1"/>
  <c r="L41" i="28" s="1"/>
  <c r="P53" i="28"/>
  <c r="H54" i="28"/>
  <c r="K54" i="28" s="1"/>
  <c r="H52" i="27"/>
  <c r="K43" i="26"/>
  <c r="P42" i="26"/>
  <c r="M42" i="26"/>
  <c r="N42" i="26" s="1"/>
  <c r="L43" i="26" s="1"/>
  <c r="J51" i="26"/>
  <c r="H52" i="26"/>
  <c r="H48" i="18"/>
  <c r="K41" i="28" l="1"/>
  <c r="N48" i="28"/>
  <c r="L48" i="28"/>
  <c r="M48" i="28" s="1"/>
  <c r="P54" i="28"/>
  <c r="H55" i="28"/>
  <c r="K55" i="28" s="1"/>
  <c r="H53" i="27"/>
  <c r="K44" i="26"/>
  <c r="P43" i="26"/>
  <c r="M43" i="26"/>
  <c r="N43" i="26" s="1"/>
  <c r="L44" i="26" s="1"/>
  <c r="J52" i="26"/>
  <c r="H53" i="26"/>
  <c r="H49" i="18"/>
  <c r="P41" i="28" l="1"/>
  <c r="M41" i="28"/>
  <c r="N41" i="28" s="1"/>
  <c r="L42" i="28" s="1"/>
  <c r="K42" i="28"/>
  <c r="N49" i="28"/>
  <c r="L49" i="28"/>
  <c r="M49" i="28" s="1"/>
  <c r="K56" i="28"/>
  <c r="P55" i="28"/>
  <c r="H56" i="28"/>
  <c r="K54" i="27"/>
  <c r="H54" i="27"/>
  <c r="M44" i="26"/>
  <c r="N44" i="26" s="1"/>
  <c r="L45" i="26" s="1"/>
  <c r="K45" i="26"/>
  <c r="P44" i="26"/>
  <c r="J53" i="26"/>
  <c r="H54" i="26"/>
  <c r="H50" i="18"/>
  <c r="P42" i="28" l="1"/>
  <c r="M42" i="28"/>
  <c r="N42" i="28" s="1"/>
  <c r="L43" i="28" s="1"/>
  <c r="K43" i="28"/>
  <c r="L50" i="28"/>
  <c r="M50" i="28" s="1"/>
  <c r="N50" i="28" s="1"/>
  <c r="K57" i="28"/>
  <c r="H57" i="28"/>
  <c r="P56" i="28"/>
  <c r="I54" i="27"/>
  <c r="M54" i="27"/>
  <c r="N54" i="27"/>
  <c r="P54" i="27"/>
  <c r="L54" i="27"/>
  <c r="K55" i="27"/>
  <c r="H55" i="27"/>
  <c r="M45" i="26"/>
  <c r="N45" i="26" s="1"/>
  <c r="L46" i="26" s="1"/>
  <c r="K46" i="26"/>
  <c r="P45" i="26"/>
  <c r="J54" i="26"/>
  <c r="H55" i="26"/>
  <c r="H51" i="18"/>
  <c r="P43" i="28" l="1"/>
  <c r="M43" i="28"/>
  <c r="N43" i="28" s="1"/>
  <c r="L44" i="28" s="1"/>
  <c r="K44" i="28"/>
  <c r="L51" i="28"/>
  <c r="M51" i="28" s="1"/>
  <c r="N51" i="28" s="1"/>
  <c r="H58" i="28"/>
  <c r="K58" i="28" s="1"/>
  <c r="P57" i="28"/>
  <c r="I55" i="27"/>
  <c r="J55" i="27" s="1"/>
  <c r="N55" i="27"/>
  <c r="P55" i="27"/>
  <c r="M55" i="27"/>
  <c r="H56" i="27"/>
  <c r="K56" i="27"/>
  <c r="L55" i="27"/>
  <c r="M46" i="26"/>
  <c r="N46" i="26" s="1"/>
  <c r="L47" i="26" s="1"/>
  <c r="K47" i="26"/>
  <c r="P46" i="26"/>
  <c r="J55" i="26"/>
  <c r="H56" i="26"/>
  <c r="H52" i="18"/>
  <c r="P44" i="28" l="1"/>
  <c r="M44" i="28"/>
  <c r="N44" i="28" s="1"/>
  <c r="L45" i="28" s="1"/>
  <c r="L52" i="28"/>
  <c r="M52" i="28" s="1"/>
  <c r="N52" i="28" s="1"/>
  <c r="P58" i="28"/>
  <c r="H59" i="28"/>
  <c r="K59" i="28" s="1"/>
  <c r="I56" i="27"/>
  <c r="J56" i="27" s="1"/>
  <c r="N56" i="27"/>
  <c r="P56" i="27"/>
  <c r="H57" i="27"/>
  <c r="M56" i="27"/>
  <c r="L56" i="27"/>
  <c r="K57" i="27"/>
  <c r="M47" i="26"/>
  <c r="N47" i="26" s="1"/>
  <c r="L48" i="26" s="1"/>
  <c r="P47" i="26"/>
  <c r="K48" i="26"/>
  <c r="J56" i="26"/>
  <c r="H57" i="26"/>
  <c r="H53" i="18"/>
  <c r="K45" i="28" l="1"/>
  <c r="N53" i="28"/>
  <c r="L53" i="28"/>
  <c r="M53" i="28" s="1"/>
  <c r="P59" i="28"/>
  <c r="H60" i="28"/>
  <c r="K60" i="28" s="1"/>
  <c r="I57" i="27"/>
  <c r="J57" i="27" s="1"/>
  <c r="P57" i="27"/>
  <c r="N57" i="27"/>
  <c r="H58" i="27"/>
  <c r="K58" i="27"/>
  <c r="L57" i="27"/>
  <c r="M57" i="27"/>
  <c r="M48" i="26"/>
  <c r="N48" i="26" s="1"/>
  <c r="L49" i="26" s="1"/>
  <c r="P48" i="26"/>
  <c r="K49" i="26"/>
  <c r="J57" i="26"/>
  <c r="H58" i="26"/>
  <c r="H54" i="18"/>
  <c r="P45" i="28" l="1"/>
  <c r="M45" i="28"/>
  <c r="N45" i="28" s="1"/>
  <c r="L46" i="28" s="1"/>
  <c r="K46" i="28"/>
  <c r="N54" i="28"/>
  <c r="L54" i="28"/>
  <c r="M54" i="28" s="1"/>
  <c r="P60" i="28"/>
  <c r="H61" i="28"/>
  <c r="K61" i="28" s="1"/>
  <c r="I58" i="27"/>
  <c r="J58" i="27" s="1"/>
  <c r="N58" i="27"/>
  <c r="P58" i="27"/>
  <c r="H59" i="27"/>
  <c r="M58" i="27"/>
  <c r="L58" i="27"/>
  <c r="K59" i="27"/>
  <c r="M49" i="26"/>
  <c r="N49" i="26" s="1"/>
  <c r="L50" i="26" s="1"/>
  <c r="K50" i="26"/>
  <c r="P49" i="26"/>
  <c r="K54" i="26"/>
  <c r="J58" i="26"/>
  <c r="H59" i="26"/>
  <c r="H55" i="18"/>
  <c r="P46" i="28" l="1"/>
  <c r="M46" i="28"/>
  <c r="N46" i="28" s="1"/>
  <c r="L47" i="28" s="1"/>
  <c r="K47" i="28"/>
  <c r="N55" i="28"/>
  <c r="L55" i="28"/>
  <c r="M55" i="28" s="1"/>
  <c r="P61" i="28"/>
  <c r="H62" i="28"/>
  <c r="K62" i="28" s="1"/>
  <c r="I59" i="27"/>
  <c r="J59" i="27" s="1"/>
  <c r="P59" i="27"/>
  <c r="H60" i="27"/>
  <c r="N59" i="27"/>
  <c r="K60" i="27"/>
  <c r="L59" i="27"/>
  <c r="M59" i="27"/>
  <c r="M50" i="26"/>
  <c r="N50" i="26" s="1"/>
  <c r="L51" i="26" s="1"/>
  <c r="P50" i="26"/>
  <c r="K51" i="26"/>
  <c r="L54" i="26"/>
  <c r="M54" i="26" s="1"/>
  <c r="N54" i="26" s="1"/>
  <c r="L55" i="26" s="1"/>
  <c r="M55" i="26" s="1"/>
  <c r="N55" i="26" s="1"/>
  <c r="L56" i="26" s="1"/>
  <c r="P54" i="26"/>
  <c r="K55" i="26"/>
  <c r="J59" i="26"/>
  <c r="H60" i="26"/>
  <c r="H56" i="18"/>
  <c r="P47" i="28" l="1"/>
  <c r="M47" i="28"/>
  <c r="N47" i="28" s="1"/>
  <c r="L56" i="28"/>
  <c r="M56" i="28" s="1"/>
  <c r="N56" i="28" s="1"/>
  <c r="H63" i="28"/>
  <c r="K63" i="28" s="1"/>
  <c r="P62" i="28"/>
  <c r="I60" i="27"/>
  <c r="J60" i="27" s="1"/>
  <c r="H61" i="27"/>
  <c r="K61" i="27"/>
  <c r="P60" i="27"/>
  <c r="N60" i="27"/>
  <c r="L60" i="27"/>
  <c r="M60" i="27"/>
  <c r="M51" i="26"/>
  <c r="N51" i="26" s="1"/>
  <c r="L52" i="26" s="1"/>
  <c r="K52" i="26"/>
  <c r="P51" i="26"/>
  <c r="M56" i="26"/>
  <c r="N56" i="26" s="1"/>
  <c r="L57" i="26" s="1"/>
  <c r="P55" i="26"/>
  <c r="K56" i="26"/>
  <c r="J60" i="26"/>
  <c r="H61" i="26"/>
  <c r="H57" i="18"/>
  <c r="L57" i="28" l="1"/>
  <c r="M57" i="28" s="1"/>
  <c r="N57" i="28" s="1"/>
  <c r="K64" i="28"/>
  <c r="P63" i="28"/>
  <c r="H64" i="28"/>
  <c r="I61" i="27"/>
  <c r="J61" i="27" s="1"/>
  <c r="K62" i="27"/>
  <c r="H62" i="27"/>
  <c r="M61" i="27"/>
  <c r="N61" i="27"/>
  <c r="P61" i="27"/>
  <c r="L61" i="27"/>
  <c r="M52" i="26"/>
  <c r="N52" i="26" s="1"/>
  <c r="L53" i="26" s="1"/>
  <c r="K53" i="26"/>
  <c r="P53" i="26" s="1"/>
  <c r="P52" i="26"/>
  <c r="P56" i="26"/>
  <c r="K57" i="26"/>
  <c r="J61" i="26"/>
  <c r="H62" i="26"/>
  <c r="H58" i="18"/>
  <c r="L58" i="28" l="1"/>
  <c r="M58" i="28" s="1"/>
  <c r="N58" i="28" s="1"/>
  <c r="K65" i="28"/>
  <c r="P64" i="28"/>
  <c r="H65" i="28"/>
  <c r="I62" i="27"/>
  <c r="J62" i="27" s="1"/>
  <c r="K63" i="27"/>
  <c r="L62" i="27"/>
  <c r="M62" i="27"/>
  <c r="N62" i="27"/>
  <c r="H63" i="27"/>
  <c r="P62" i="27"/>
  <c r="M53" i="26"/>
  <c r="N53" i="26" s="1"/>
  <c r="P57" i="26"/>
  <c r="K58" i="26"/>
  <c r="M57" i="26"/>
  <c r="N57" i="26" s="1"/>
  <c r="L58" i="26" s="1"/>
  <c r="J62" i="26"/>
  <c r="H63" i="26"/>
  <c r="H59" i="18"/>
  <c r="N59" i="28" l="1"/>
  <c r="L59" i="28"/>
  <c r="M59" i="28" s="1"/>
  <c r="K66" i="28"/>
  <c r="P65" i="28"/>
  <c r="H66" i="28"/>
  <c r="I63" i="27"/>
  <c r="J63" i="27" s="1"/>
  <c r="L63" i="27"/>
  <c r="M63" i="27"/>
  <c r="K64" i="27"/>
  <c r="P63" i="27"/>
  <c r="H64" i="27"/>
  <c r="N63" i="27"/>
  <c r="P58" i="26"/>
  <c r="K59" i="26"/>
  <c r="M58" i="26"/>
  <c r="N58" i="26" s="1"/>
  <c r="L59" i="26" s="1"/>
  <c r="J63" i="26"/>
  <c r="H64" i="26"/>
  <c r="H60" i="18"/>
  <c r="N60" i="28" l="1"/>
  <c r="L60" i="28"/>
  <c r="M60" i="28" s="1"/>
  <c r="K67" i="28"/>
  <c r="H67" i="28"/>
  <c r="P66" i="28"/>
  <c r="I64" i="27"/>
  <c r="J64" i="27" s="1"/>
  <c r="L64" i="27"/>
  <c r="M64" i="27"/>
  <c r="N64" i="27"/>
  <c r="P64" i="27"/>
  <c r="H65" i="27"/>
  <c r="K65" i="27"/>
  <c r="P59" i="26"/>
  <c r="K60" i="26"/>
  <c r="M59" i="26"/>
  <c r="N59" i="26" s="1"/>
  <c r="L60" i="26" s="1"/>
  <c r="J64" i="26"/>
  <c r="H65" i="26"/>
  <c r="H61" i="18"/>
  <c r="N61" i="28" l="1"/>
  <c r="L61" i="28"/>
  <c r="M61" i="28" s="1"/>
  <c r="P67" i="28"/>
  <c r="H68" i="28"/>
  <c r="K68" i="28" s="1"/>
  <c r="I65" i="27"/>
  <c r="J65" i="27" s="1"/>
  <c r="M65" i="27"/>
  <c r="N65" i="27"/>
  <c r="P65" i="27"/>
  <c r="L65" i="27"/>
  <c r="H66" i="27"/>
  <c r="K66" i="27"/>
  <c r="P60" i="26"/>
  <c r="K61" i="26"/>
  <c r="M60" i="26"/>
  <c r="N60" i="26" s="1"/>
  <c r="L61" i="26" s="1"/>
  <c r="J65" i="26"/>
  <c r="H66" i="26"/>
  <c r="P66" i="26" s="1"/>
  <c r="H62" i="18"/>
  <c r="L62" i="28" l="1"/>
  <c r="M62" i="28" s="1"/>
  <c r="N62" i="28" s="1"/>
  <c r="P68" i="28"/>
  <c r="H69" i="28"/>
  <c r="K69" i="28"/>
  <c r="I66" i="27"/>
  <c r="J66" i="27" s="1"/>
  <c r="M66" i="27"/>
  <c r="N66" i="27"/>
  <c r="P66" i="27"/>
  <c r="L66" i="27"/>
  <c r="H67" i="27"/>
  <c r="K67" i="27"/>
  <c r="P61" i="26"/>
  <c r="K62" i="26"/>
  <c r="M61" i="26"/>
  <c r="N61" i="26" s="1"/>
  <c r="L62" i="26" s="1"/>
  <c r="J66" i="26"/>
  <c r="K66" i="26"/>
  <c r="M66" i="26"/>
  <c r="N66" i="26"/>
  <c r="H67" i="26"/>
  <c r="P67" i="26" s="1"/>
  <c r="L66" i="26"/>
  <c r="K67" i="26"/>
  <c r="H63" i="18"/>
  <c r="L63" i="28" l="1"/>
  <c r="M63" i="28" s="1"/>
  <c r="N63" i="28" s="1"/>
  <c r="P69" i="28"/>
  <c r="H70" i="28"/>
  <c r="K70" i="28" s="1"/>
  <c r="I67" i="27"/>
  <c r="J67" i="27" s="1"/>
  <c r="N67" i="27"/>
  <c r="P67" i="27"/>
  <c r="H68" i="27"/>
  <c r="M67" i="27"/>
  <c r="L67" i="27"/>
  <c r="K68" i="27"/>
  <c r="P62" i="26"/>
  <c r="K63" i="26"/>
  <c r="M62" i="26"/>
  <c r="N62" i="26" s="1"/>
  <c r="L63" i="26" s="1"/>
  <c r="M63" i="26" s="1"/>
  <c r="N63" i="26" s="1"/>
  <c r="L64" i="26" s="1"/>
  <c r="J67" i="26"/>
  <c r="L67" i="26"/>
  <c r="H68" i="26"/>
  <c r="P68" i="26" s="1"/>
  <c r="K68" i="26"/>
  <c r="M67" i="26"/>
  <c r="N67" i="26"/>
  <c r="I64" i="18"/>
  <c r="H64" i="18"/>
  <c r="L64" i="28" l="1"/>
  <c r="M64" i="28" s="1"/>
  <c r="N64" i="28" s="1"/>
  <c r="P70" i="28"/>
  <c r="H71" i="28"/>
  <c r="K71" i="28" s="1"/>
  <c r="I68" i="27"/>
  <c r="J68" i="27" s="1"/>
  <c r="P68" i="27"/>
  <c r="H69" i="27"/>
  <c r="N68" i="27"/>
  <c r="K69" i="27"/>
  <c r="L68" i="27"/>
  <c r="M68" i="27"/>
  <c r="M64" i="26"/>
  <c r="N64" i="26" s="1"/>
  <c r="L65" i="26" s="1"/>
  <c r="P63" i="26"/>
  <c r="K64" i="26"/>
  <c r="J68" i="26"/>
  <c r="N68" i="26"/>
  <c r="K69" i="26"/>
  <c r="L68" i="26"/>
  <c r="H69" i="26"/>
  <c r="P69" i="26" s="1"/>
  <c r="M68" i="26"/>
  <c r="I65" i="18"/>
  <c r="K64" i="18"/>
  <c r="N64" i="18"/>
  <c r="J64" i="18"/>
  <c r="L64" i="18"/>
  <c r="H65" i="18"/>
  <c r="L65" i="28" l="1"/>
  <c r="M65" i="28" s="1"/>
  <c r="N65" i="28" s="1"/>
  <c r="H72" i="28"/>
  <c r="K72" i="28" s="1"/>
  <c r="P71" i="28"/>
  <c r="I69" i="27"/>
  <c r="J69" i="27" s="1"/>
  <c r="H70" i="27"/>
  <c r="K70" i="27"/>
  <c r="P69" i="27"/>
  <c r="L69" i="27"/>
  <c r="N69" i="27"/>
  <c r="M69" i="27"/>
  <c r="K65" i="26"/>
  <c r="P65" i="26" s="1"/>
  <c r="P64" i="26"/>
  <c r="J69" i="26"/>
  <c r="H70" i="26"/>
  <c r="P70" i="26" s="1"/>
  <c r="L69" i="26"/>
  <c r="N69" i="26"/>
  <c r="M69" i="26"/>
  <c r="K70" i="26"/>
  <c r="I66" i="18"/>
  <c r="K65" i="18"/>
  <c r="J65" i="18"/>
  <c r="L65" i="18"/>
  <c r="N65" i="18"/>
  <c r="H66" i="18"/>
  <c r="N66" i="28" l="1"/>
  <c r="L66" i="28"/>
  <c r="M66" i="28" s="1"/>
  <c r="K73" i="28"/>
  <c r="P72" i="28"/>
  <c r="H73" i="28"/>
  <c r="I70" i="27"/>
  <c r="J70" i="27" s="1"/>
  <c r="K71" i="27"/>
  <c r="H71" i="27"/>
  <c r="M70" i="27"/>
  <c r="N70" i="27"/>
  <c r="L70" i="27"/>
  <c r="P70" i="27"/>
  <c r="M65" i="26"/>
  <c r="N65" i="26" s="1"/>
  <c r="J70" i="26"/>
  <c r="M70" i="26"/>
  <c r="N70" i="26"/>
  <c r="H71" i="26"/>
  <c r="P71" i="26" s="1"/>
  <c r="L70" i="26"/>
  <c r="K71" i="26"/>
  <c r="K66" i="18"/>
  <c r="I67" i="18"/>
  <c r="J66" i="18"/>
  <c r="N66" i="18"/>
  <c r="L66" i="18"/>
  <c r="H67" i="18"/>
  <c r="L67" i="28" l="1"/>
  <c r="M67" i="28" s="1"/>
  <c r="N67" i="28" s="1"/>
  <c r="K74" i="28"/>
  <c r="P73" i="28"/>
  <c r="H74" i="28"/>
  <c r="I71" i="27"/>
  <c r="J71" i="27" s="1"/>
  <c r="K72" i="27"/>
  <c r="L71" i="27"/>
  <c r="M71" i="27"/>
  <c r="N71" i="27"/>
  <c r="P71" i="27"/>
  <c r="H72" i="27"/>
  <c r="J71" i="26"/>
  <c r="L71" i="26"/>
  <c r="H72" i="26"/>
  <c r="P72" i="26" s="1"/>
  <c r="N71" i="26"/>
  <c r="K72" i="26"/>
  <c r="M71" i="26"/>
  <c r="K67" i="18"/>
  <c r="I68" i="18"/>
  <c r="J67" i="18"/>
  <c r="L67" i="18"/>
  <c r="N67" i="18"/>
  <c r="H68" i="18"/>
  <c r="N68" i="28" l="1"/>
  <c r="L68" i="28"/>
  <c r="M68" i="28" s="1"/>
  <c r="K75" i="28"/>
  <c r="H75" i="28"/>
  <c r="P74" i="28"/>
  <c r="I72" i="27"/>
  <c r="J72" i="27" s="1"/>
  <c r="L72" i="27"/>
  <c r="M72" i="27"/>
  <c r="K73" i="27"/>
  <c r="P72" i="27"/>
  <c r="H73" i="27"/>
  <c r="N72" i="27"/>
  <c r="J72" i="26"/>
  <c r="N72" i="26"/>
  <c r="K73" i="26"/>
  <c r="L72" i="26"/>
  <c r="M72" i="26"/>
  <c r="H73" i="26"/>
  <c r="P73" i="26" s="1"/>
  <c r="I69" i="18"/>
  <c r="K68" i="18"/>
  <c r="J68" i="18"/>
  <c r="L68" i="18"/>
  <c r="N68" i="18"/>
  <c r="H69" i="18"/>
  <c r="L69" i="28" l="1"/>
  <c r="M69" i="28" s="1"/>
  <c r="N69" i="28" s="1"/>
  <c r="P75" i="28"/>
  <c r="H76" i="28"/>
  <c r="K76" i="28" s="1"/>
  <c r="I73" i="27"/>
  <c r="J73" i="27" s="1"/>
  <c r="L73" i="27"/>
  <c r="M73" i="27"/>
  <c r="N73" i="27"/>
  <c r="P73" i="27"/>
  <c r="K74" i="27"/>
  <c r="H74" i="27"/>
  <c r="J73" i="26"/>
  <c r="H74" i="26"/>
  <c r="P74" i="26" s="1"/>
  <c r="L73" i="26"/>
  <c r="N73" i="26"/>
  <c r="M73" i="26"/>
  <c r="K74" i="26"/>
  <c r="I70" i="18"/>
  <c r="K69" i="18"/>
  <c r="L69" i="18"/>
  <c r="N69" i="18"/>
  <c r="J69" i="18"/>
  <c r="H70" i="18"/>
  <c r="N70" i="28" l="1"/>
  <c r="L70" i="28"/>
  <c r="M70" i="28" s="1"/>
  <c r="P76" i="28"/>
  <c r="H77" i="28"/>
  <c r="K77" i="28" s="1"/>
  <c r="I74" i="27"/>
  <c r="J74" i="27" s="1"/>
  <c r="M74" i="27"/>
  <c r="N74" i="27"/>
  <c r="P74" i="27"/>
  <c r="L74" i="27"/>
  <c r="K75" i="27"/>
  <c r="H75" i="27"/>
  <c r="J74" i="26"/>
  <c r="M74" i="26"/>
  <c r="N74" i="26"/>
  <c r="H75" i="26"/>
  <c r="P75" i="26" s="1"/>
  <c r="L74" i="26"/>
  <c r="K75" i="26"/>
  <c r="I71" i="18"/>
  <c r="K70" i="18"/>
  <c r="N70" i="18"/>
  <c r="L70" i="18"/>
  <c r="J70" i="18"/>
  <c r="H71" i="18"/>
  <c r="N71" i="28" l="1"/>
  <c r="L71" i="28"/>
  <c r="M71" i="28" s="1"/>
  <c r="H78" i="28"/>
  <c r="K78" i="28" s="1"/>
  <c r="P77" i="28"/>
  <c r="I75" i="27"/>
  <c r="J75" i="27" s="1"/>
  <c r="N75" i="27"/>
  <c r="P75" i="27"/>
  <c r="H76" i="27"/>
  <c r="M75" i="27"/>
  <c r="K76" i="27"/>
  <c r="L75" i="27"/>
  <c r="J75" i="26"/>
  <c r="L75" i="26"/>
  <c r="H76" i="26"/>
  <c r="P76" i="26" s="1"/>
  <c r="K76" i="26"/>
  <c r="M75" i="26"/>
  <c r="N75" i="26"/>
  <c r="K71" i="18"/>
  <c r="I72" i="18"/>
  <c r="N71" i="18"/>
  <c r="J71" i="18"/>
  <c r="L71" i="18"/>
  <c r="H72" i="18"/>
  <c r="L72" i="28" l="1"/>
  <c r="M72" i="28" s="1"/>
  <c r="N72" i="28" s="1"/>
  <c r="M78" i="28"/>
  <c r="P78" i="28"/>
  <c r="H79" i="28"/>
  <c r="L78" i="28"/>
  <c r="N78" i="28"/>
  <c r="K79" i="28"/>
  <c r="I76" i="27"/>
  <c r="J76" i="27" s="1"/>
  <c r="P76" i="27"/>
  <c r="H77" i="27"/>
  <c r="N76" i="27"/>
  <c r="M76" i="27"/>
  <c r="L76" i="27"/>
  <c r="K77" i="27"/>
  <c r="J76" i="26"/>
  <c r="N76" i="26"/>
  <c r="K77" i="26"/>
  <c r="L76" i="26"/>
  <c r="H77" i="26"/>
  <c r="P77" i="26" s="1"/>
  <c r="M76" i="26"/>
  <c r="K72" i="18"/>
  <c r="I73" i="18"/>
  <c r="N72" i="18"/>
  <c r="J72" i="18"/>
  <c r="L72" i="18"/>
  <c r="H73" i="18"/>
  <c r="N73" i="28" l="1"/>
  <c r="L73" i="28"/>
  <c r="M73" i="28" s="1"/>
  <c r="M79" i="28"/>
  <c r="H80" i="28"/>
  <c r="L79" i="28"/>
  <c r="K80" i="28"/>
  <c r="N79" i="28"/>
  <c r="P79" i="28"/>
  <c r="I77" i="27"/>
  <c r="J77" i="27" s="1"/>
  <c r="H78" i="27"/>
  <c r="K78" i="27"/>
  <c r="P77" i="27"/>
  <c r="L77" i="27"/>
  <c r="M77" i="27"/>
  <c r="N77" i="27"/>
  <c r="J77" i="26"/>
  <c r="H78" i="26"/>
  <c r="P78" i="26" s="1"/>
  <c r="L77" i="26"/>
  <c r="N77" i="26"/>
  <c r="M77" i="26"/>
  <c r="K78" i="26"/>
  <c r="K73" i="18"/>
  <c r="I74" i="18"/>
  <c r="L73" i="18"/>
  <c r="J73" i="18"/>
  <c r="N73" i="18"/>
  <c r="H74" i="18"/>
  <c r="N74" i="28" l="1"/>
  <c r="L74" i="28"/>
  <c r="M74" i="28" s="1"/>
  <c r="M80" i="28"/>
  <c r="K81" i="28"/>
  <c r="N80" i="28"/>
  <c r="P80" i="28"/>
  <c r="H81" i="28"/>
  <c r="L80" i="28"/>
  <c r="I78" i="27"/>
  <c r="J78" i="27" s="1"/>
  <c r="K79" i="27"/>
  <c r="H79" i="27"/>
  <c r="L78" i="27"/>
  <c r="M78" i="27"/>
  <c r="N78" i="27"/>
  <c r="P78" i="27"/>
  <c r="J78" i="26"/>
  <c r="M78" i="26"/>
  <c r="N78" i="26"/>
  <c r="H79" i="26"/>
  <c r="P79" i="26" s="1"/>
  <c r="L78" i="26"/>
  <c r="K79" i="26"/>
  <c r="K74" i="18"/>
  <c r="I75" i="18"/>
  <c r="J74" i="18"/>
  <c r="N74" i="18"/>
  <c r="L74" i="18"/>
  <c r="H75" i="18"/>
  <c r="L75" i="28" l="1"/>
  <c r="M75" i="28" s="1"/>
  <c r="N75" i="28" s="1"/>
  <c r="M81" i="28"/>
  <c r="K82" i="28"/>
  <c r="P81" i="28"/>
  <c r="L81" i="28"/>
  <c r="N81" i="28"/>
  <c r="H82" i="28"/>
  <c r="I79" i="27"/>
  <c r="J79" i="27" s="1"/>
  <c r="K80" i="27"/>
  <c r="L79" i="27"/>
  <c r="N79" i="27"/>
  <c r="P79" i="27"/>
  <c r="H80" i="27"/>
  <c r="M79" i="27"/>
  <c r="J79" i="26"/>
  <c r="L79" i="26"/>
  <c r="H80" i="26"/>
  <c r="P80" i="26" s="1"/>
  <c r="N79" i="26"/>
  <c r="K80" i="26"/>
  <c r="M79" i="26"/>
  <c r="I76" i="18"/>
  <c r="K75" i="18"/>
  <c r="J75" i="18"/>
  <c r="L75" i="18"/>
  <c r="N75" i="18"/>
  <c r="H76" i="18"/>
  <c r="N76" i="28" l="1"/>
  <c r="L76" i="28"/>
  <c r="M76" i="28" s="1"/>
  <c r="M82" i="28"/>
  <c r="K83" i="28"/>
  <c r="L82" i="28"/>
  <c r="H83" i="28"/>
  <c r="N82" i="28"/>
  <c r="P82" i="28"/>
  <c r="I80" i="27"/>
  <c r="J80" i="27" s="1"/>
  <c r="L80" i="27"/>
  <c r="M80" i="27"/>
  <c r="K81" i="27"/>
  <c r="N80" i="27"/>
  <c r="P80" i="27"/>
  <c r="H81" i="27"/>
  <c r="J80" i="26"/>
  <c r="N80" i="26"/>
  <c r="K81" i="26"/>
  <c r="L80" i="26"/>
  <c r="M80" i="26"/>
  <c r="H81" i="26"/>
  <c r="P81" i="26" s="1"/>
  <c r="I77" i="18"/>
  <c r="K76" i="18"/>
  <c r="J76" i="18"/>
  <c r="L76" i="18"/>
  <c r="N76" i="18"/>
  <c r="H77" i="18"/>
  <c r="L77" i="28" l="1"/>
  <c r="M77" i="28" s="1"/>
  <c r="N77" i="28" s="1"/>
  <c r="M83" i="28"/>
  <c r="L83" i="28"/>
  <c r="N83" i="28"/>
  <c r="P83" i="28"/>
  <c r="H84" i="28"/>
  <c r="K84" i="28"/>
  <c r="I81" i="27"/>
  <c r="J81" i="27" s="1"/>
  <c r="L81" i="27"/>
  <c r="M81" i="27"/>
  <c r="N81" i="27"/>
  <c r="H82" i="27"/>
  <c r="P81" i="27"/>
  <c r="K82" i="27"/>
  <c r="J81" i="26"/>
  <c r="H82" i="26"/>
  <c r="P82" i="26" s="1"/>
  <c r="L81" i="26"/>
  <c r="N81" i="26"/>
  <c r="M81" i="26"/>
  <c r="K82" i="26"/>
  <c r="I78" i="18"/>
  <c r="K77" i="18"/>
  <c r="L77" i="18"/>
  <c r="J77" i="18"/>
  <c r="N77" i="18"/>
  <c r="H78" i="18"/>
  <c r="M84" i="28" l="1"/>
  <c r="L84" i="28"/>
  <c r="P84" i="28"/>
  <c r="N84" i="28"/>
  <c r="H85" i="28"/>
  <c r="K85" i="28"/>
  <c r="I82" i="27"/>
  <c r="J82" i="27" s="1"/>
  <c r="M82" i="27"/>
  <c r="N82" i="27"/>
  <c r="P82" i="27"/>
  <c r="L82" i="27"/>
  <c r="H83" i="27"/>
  <c r="K83" i="27"/>
  <c r="J82" i="26"/>
  <c r="M82" i="26"/>
  <c r="N82" i="26"/>
  <c r="H83" i="26"/>
  <c r="P83" i="26" s="1"/>
  <c r="L82" i="26"/>
  <c r="K83" i="26"/>
  <c r="I79" i="18"/>
  <c r="K78" i="18"/>
  <c r="J78" i="18"/>
  <c r="N78" i="18"/>
  <c r="L78" i="18"/>
  <c r="H79" i="18"/>
  <c r="M85" i="28" l="1"/>
  <c r="N85" i="28"/>
  <c r="P85" i="28"/>
  <c r="H86" i="28"/>
  <c r="K86" i="28"/>
  <c r="L85" i="28"/>
  <c r="I83" i="27"/>
  <c r="J83" i="27" s="1"/>
  <c r="N83" i="27"/>
  <c r="P83" i="27"/>
  <c r="H84" i="27"/>
  <c r="M83" i="27"/>
  <c r="L83" i="27"/>
  <c r="K84" i="27"/>
  <c r="J83" i="26"/>
  <c r="L83" i="26"/>
  <c r="H84" i="26"/>
  <c r="P84" i="26" s="1"/>
  <c r="K84" i="26"/>
  <c r="M83" i="26"/>
  <c r="N83" i="26"/>
  <c r="K79" i="18"/>
  <c r="I80" i="18"/>
  <c r="N79" i="18"/>
  <c r="L79" i="18"/>
  <c r="J79" i="18"/>
  <c r="H80" i="18"/>
  <c r="M86" i="28" l="1"/>
  <c r="P86" i="28"/>
  <c r="H87" i="28"/>
  <c r="K87" i="28"/>
  <c r="L86" i="28"/>
  <c r="N86" i="28"/>
  <c r="I84" i="27"/>
  <c r="J84" i="27" s="1"/>
  <c r="P84" i="27"/>
  <c r="H85" i="27"/>
  <c r="N84" i="27"/>
  <c r="K85" i="27"/>
  <c r="L84" i="27"/>
  <c r="M84" i="27"/>
  <c r="J84" i="26"/>
  <c r="N84" i="26"/>
  <c r="K85" i="26"/>
  <c r="L84" i="26"/>
  <c r="H85" i="26"/>
  <c r="P85" i="26" s="1"/>
  <c r="M84" i="26"/>
  <c r="I81" i="18"/>
  <c r="K80" i="18"/>
  <c r="N80" i="18"/>
  <c r="J80" i="18"/>
  <c r="L80" i="18"/>
  <c r="H81" i="18"/>
  <c r="M87" i="28" l="1"/>
  <c r="H88" i="28"/>
  <c r="L87" i="28"/>
  <c r="K88" i="28"/>
  <c r="P87" i="28"/>
  <c r="N87" i="28"/>
  <c r="I85" i="27"/>
  <c r="J85" i="27" s="1"/>
  <c r="H86" i="27"/>
  <c r="K86" i="27"/>
  <c r="P85" i="27"/>
  <c r="L85" i="27"/>
  <c r="M85" i="27"/>
  <c r="N85" i="27"/>
  <c r="J85" i="26"/>
  <c r="H86" i="26"/>
  <c r="P86" i="26" s="1"/>
  <c r="L85" i="26"/>
  <c r="N85" i="26"/>
  <c r="M85" i="26"/>
  <c r="K86" i="26"/>
  <c r="K81" i="18"/>
  <c r="I82" i="18"/>
  <c r="N81" i="18"/>
  <c r="J81" i="18"/>
  <c r="L81" i="18"/>
  <c r="H82" i="18"/>
  <c r="M88" i="28" l="1"/>
  <c r="K89" i="28"/>
  <c r="N88" i="28"/>
  <c r="L88" i="28"/>
  <c r="P88" i="28"/>
  <c r="H89" i="28"/>
  <c r="I86" i="27"/>
  <c r="J86" i="27" s="1"/>
  <c r="K87" i="27"/>
  <c r="H87" i="27"/>
  <c r="M86" i="27"/>
  <c r="N86" i="27"/>
  <c r="L86" i="27"/>
  <c r="P86" i="27"/>
  <c r="J86" i="26"/>
  <c r="M86" i="26"/>
  <c r="N86" i="26"/>
  <c r="H87" i="26"/>
  <c r="P87" i="26" s="1"/>
  <c r="K87" i="26"/>
  <c r="L86" i="26"/>
  <c r="I83" i="18"/>
  <c r="K82" i="18"/>
  <c r="N82" i="18"/>
  <c r="L82" i="18"/>
  <c r="J82" i="18"/>
  <c r="H83" i="18"/>
  <c r="M89" i="28" l="1"/>
  <c r="K90" i="28"/>
  <c r="P89" i="28"/>
  <c r="L89" i="28"/>
  <c r="H90" i="28"/>
  <c r="N89" i="28"/>
  <c r="I87" i="27"/>
  <c r="J87" i="27" s="1"/>
  <c r="K88" i="27"/>
  <c r="L87" i="27"/>
  <c r="M87" i="27"/>
  <c r="H88" i="27"/>
  <c r="N87" i="27"/>
  <c r="P87" i="27"/>
  <c r="J87" i="26"/>
  <c r="L87" i="26"/>
  <c r="H88" i="26"/>
  <c r="P88" i="26" s="1"/>
  <c r="N87" i="26"/>
  <c r="K88" i="26"/>
  <c r="M87" i="26"/>
  <c r="K83" i="18"/>
  <c r="I84" i="18"/>
  <c r="J83" i="18"/>
  <c r="L83" i="18"/>
  <c r="N83" i="18"/>
  <c r="H84" i="18"/>
  <c r="M90" i="28" l="1"/>
  <c r="K91" i="28"/>
  <c r="L90" i="28"/>
  <c r="H91" i="28"/>
  <c r="N90" i="28"/>
  <c r="P90" i="28"/>
  <c r="I88" i="27"/>
  <c r="J88" i="27" s="1"/>
  <c r="L88" i="27"/>
  <c r="M88" i="27"/>
  <c r="K89" i="27"/>
  <c r="P88" i="27"/>
  <c r="H89" i="27"/>
  <c r="N88" i="27"/>
  <c r="J88" i="26"/>
  <c r="N88" i="26"/>
  <c r="K89" i="26"/>
  <c r="L88" i="26"/>
  <c r="M88" i="26"/>
  <c r="H89" i="26"/>
  <c r="P89" i="26" s="1"/>
  <c r="I85" i="18"/>
  <c r="K84" i="18"/>
  <c r="J84" i="18"/>
  <c r="L84" i="18"/>
  <c r="N84" i="18"/>
  <c r="H85" i="18"/>
  <c r="M91" i="28" l="1"/>
  <c r="L91" i="28"/>
  <c r="N91" i="28"/>
  <c r="P91" i="28"/>
  <c r="H92" i="28"/>
  <c r="K92" i="28"/>
  <c r="I89" i="27"/>
  <c r="J89" i="27" s="1"/>
  <c r="L89" i="27"/>
  <c r="M89" i="27"/>
  <c r="N89" i="27"/>
  <c r="P89" i="27"/>
  <c r="H90" i="27"/>
  <c r="K90" i="27"/>
  <c r="J89" i="26"/>
  <c r="H90" i="26"/>
  <c r="P90" i="26" s="1"/>
  <c r="L89" i="26"/>
  <c r="N89" i="26"/>
  <c r="M89" i="26"/>
  <c r="K90" i="26"/>
  <c r="I86" i="18"/>
  <c r="K85" i="18"/>
  <c r="L85" i="18"/>
  <c r="J85" i="18"/>
  <c r="N85" i="18"/>
  <c r="H86" i="18"/>
  <c r="M92" i="28" l="1"/>
  <c r="L92" i="28"/>
  <c r="P92" i="28"/>
  <c r="N92" i="28"/>
  <c r="H93" i="28"/>
  <c r="K93" i="28"/>
  <c r="I90" i="27"/>
  <c r="J90" i="27" s="1"/>
  <c r="M90" i="27"/>
  <c r="N90" i="27"/>
  <c r="P90" i="27"/>
  <c r="L90" i="27"/>
  <c r="K91" i="27"/>
  <c r="H91" i="27"/>
  <c r="J90" i="26"/>
  <c r="M90" i="26"/>
  <c r="N90" i="26"/>
  <c r="H91" i="26"/>
  <c r="P91" i="26" s="1"/>
  <c r="L90" i="26"/>
  <c r="K91" i="26"/>
  <c r="I87" i="18"/>
  <c r="K86" i="18"/>
  <c r="N86" i="18"/>
  <c r="J86" i="18"/>
  <c r="L86" i="18"/>
  <c r="H87" i="18"/>
  <c r="M93" i="28" l="1"/>
  <c r="N93" i="28"/>
  <c r="P93" i="28"/>
  <c r="H94" i="28"/>
  <c r="K94" i="28"/>
  <c r="L93" i="28"/>
  <c r="I91" i="27"/>
  <c r="J91" i="27" s="1"/>
  <c r="N91" i="27"/>
  <c r="P91" i="27"/>
  <c r="H92" i="27"/>
  <c r="M91" i="27"/>
  <c r="K92" i="27"/>
  <c r="L91" i="27"/>
  <c r="J91" i="26"/>
  <c r="L91" i="26"/>
  <c r="H92" i="26"/>
  <c r="P92" i="26" s="1"/>
  <c r="K92" i="26"/>
  <c r="M91" i="26"/>
  <c r="N91" i="26"/>
  <c r="K87" i="18"/>
  <c r="I88" i="18"/>
  <c r="N87" i="18"/>
  <c r="L87" i="18"/>
  <c r="J87" i="18"/>
  <c r="H88" i="18"/>
  <c r="M94" i="28" l="1"/>
  <c r="P94" i="28"/>
  <c r="H95" i="28"/>
  <c r="L94" i="28"/>
  <c r="N94" i="28"/>
  <c r="K95" i="28"/>
  <c r="I92" i="27"/>
  <c r="J92" i="27" s="1"/>
  <c r="P92" i="27"/>
  <c r="H93" i="27"/>
  <c r="N92" i="27"/>
  <c r="M92" i="27"/>
  <c r="L92" i="27"/>
  <c r="K93" i="27"/>
  <c r="J92" i="26"/>
  <c r="N92" i="26"/>
  <c r="K93" i="26"/>
  <c r="L92" i="26"/>
  <c r="H93" i="26"/>
  <c r="P93" i="26" s="1"/>
  <c r="M92" i="26"/>
  <c r="I89" i="18"/>
  <c r="K88" i="18"/>
  <c r="N88" i="18"/>
  <c r="J88" i="18"/>
  <c r="L88" i="18"/>
  <c r="H89" i="18"/>
  <c r="M95" i="28" l="1"/>
  <c r="H96" i="28"/>
  <c r="L95" i="28"/>
  <c r="K96" i="28"/>
  <c r="N95" i="28"/>
  <c r="P95" i="28"/>
  <c r="I93" i="27"/>
  <c r="J93" i="27" s="1"/>
  <c r="H94" i="27"/>
  <c r="K94" i="27"/>
  <c r="P93" i="27"/>
  <c r="L93" i="27"/>
  <c r="M93" i="27"/>
  <c r="N93" i="27"/>
  <c r="J93" i="26"/>
  <c r="H94" i="26"/>
  <c r="P94" i="26" s="1"/>
  <c r="L93" i="26"/>
  <c r="N93" i="26"/>
  <c r="M93" i="26"/>
  <c r="K94" i="26"/>
  <c r="I90" i="18"/>
  <c r="K89" i="18"/>
  <c r="L89" i="18"/>
  <c r="N89" i="18"/>
  <c r="J89" i="18"/>
  <c r="H90" i="18"/>
  <c r="M96" i="28" l="1"/>
  <c r="K97" i="28"/>
  <c r="N96" i="28"/>
  <c r="P96" i="28"/>
  <c r="L96" i="28"/>
  <c r="H97" i="28"/>
  <c r="I94" i="27"/>
  <c r="J94" i="27" s="1"/>
  <c r="K95" i="27"/>
  <c r="H95" i="27"/>
  <c r="L94" i="27"/>
  <c r="P94" i="27"/>
  <c r="M94" i="27"/>
  <c r="N94" i="27"/>
  <c r="J94" i="26"/>
  <c r="M94" i="26"/>
  <c r="N94" i="26"/>
  <c r="H95" i="26"/>
  <c r="P95" i="26" s="1"/>
  <c r="L94" i="26"/>
  <c r="K95" i="26"/>
  <c r="K90" i="18"/>
  <c r="I91" i="18"/>
  <c r="N90" i="18"/>
  <c r="J90" i="18"/>
  <c r="L90" i="18"/>
  <c r="H91" i="18"/>
  <c r="M97" i="28" l="1"/>
  <c r="K98" i="28"/>
  <c r="P97" i="28"/>
  <c r="L97" i="28"/>
  <c r="N97" i="28"/>
  <c r="H98" i="28"/>
  <c r="I95" i="27"/>
  <c r="J95" i="27" s="1"/>
  <c r="K96" i="27"/>
  <c r="L95" i="27"/>
  <c r="N95" i="27"/>
  <c r="P95" i="27"/>
  <c r="H96" i="27"/>
  <c r="M95" i="27"/>
  <c r="J95" i="26"/>
  <c r="L95" i="26"/>
  <c r="H96" i="26"/>
  <c r="P96" i="26" s="1"/>
  <c r="N95" i="26"/>
  <c r="K96" i="26"/>
  <c r="M95" i="26"/>
  <c r="I92" i="18"/>
  <c r="K91" i="18"/>
  <c r="J91" i="18"/>
  <c r="L91" i="18"/>
  <c r="N91" i="18"/>
  <c r="H92" i="18"/>
  <c r="M98" i="28" l="1"/>
  <c r="K99" i="28"/>
  <c r="L98" i="28"/>
  <c r="H99" i="28"/>
  <c r="N98" i="28"/>
  <c r="P98" i="28"/>
  <c r="I96" i="27"/>
  <c r="J96" i="27" s="1"/>
  <c r="L96" i="27"/>
  <c r="M96" i="27"/>
  <c r="K97" i="27"/>
  <c r="N96" i="27"/>
  <c r="P96" i="27"/>
  <c r="H97" i="27"/>
  <c r="J96" i="26"/>
  <c r="N96" i="26"/>
  <c r="K97" i="26"/>
  <c r="L96" i="26"/>
  <c r="M96" i="26"/>
  <c r="H97" i="26"/>
  <c r="P97" i="26" s="1"/>
  <c r="I93" i="18"/>
  <c r="K92" i="18"/>
  <c r="J92" i="18"/>
  <c r="L92" i="18"/>
  <c r="N92" i="18"/>
  <c r="H93" i="18"/>
  <c r="M99" i="28" l="1"/>
  <c r="L99" i="28"/>
  <c r="N99" i="28"/>
  <c r="P99" i="28"/>
  <c r="H100" i="28"/>
  <c r="K100" i="28"/>
  <c r="I97" i="27"/>
  <c r="J97" i="27" s="1"/>
  <c r="L97" i="27"/>
  <c r="M97" i="27"/>
  <c r="N97" i="27"/>
  <c r="H98" i="27"/>
  <c r="P97" i="27"/>
  <c r="K98" i="27"/>
  <c r="J97" i="26"/>
  <c r="H98" i="26"/>
  <c r="P98" i="26" s="1"/>
  <c r="L97" i="26"/>
  <c r="N97" i="26"/>
  <c r="M97" i="26"/>
  <c r="K98" i="26"/>
  <c r="I94" i="18"/>
  <c r="K93" i="18"/>
  <c r="L93" i="18"/>
  <c r="J93" i="18"/>
  <c r="N93" i="18"/>
  <c r="H94" i="18"/>
  <c r="M100" i="28" l="1"/>
  <c r="L100" i="28"/>
  <c r="P100" i="28"/>
  <c r="N100" i="28"/>
  <c r="H101" i="28"/>
  <c r="K101" i="28"/>
  <c r="I98" i="27"/>
  <c r="J98" i="27" s="1"/>
  <c r="M98" i="27"/>
  <c r="N98" i="27"/>
  <c r="P98" i="27"/>
  <c r="L98" i="27"/>
  <c r="H99" i="27"/>
  <c r="K99" i="27"/>
  <c r="J98" i="26"/>
  <c r="M98" i="26"/>
  <c r="N98" i="26"/>
  <c r="H99" i="26"/>
  <c r="P99" i="26" s="1"/>
  <c r="L98" i="26"/>
  <c r="K99" i="26"/>
  <c r="I95" i="18"/>
  <c r="K94" i="18"/>
  <c r="N94" i="18"/>
  <c r="J94" i="18"/>
  <c r="L94" i="18"/>
  <c r="H95" i="18"/>
  <c r="M101" i="28" l="1"/>
  <c r="N101" i="28"/>
  <c r="P101" i="28"/>
  <c r="H102" i="28"/>
  <c r="K102" i="28"/>
  <c r="L101" i="28"/>
  <c r="I99" i="27"/>
  <c r="J99" i="27" s="1"/>
  <c r="N99" i="27"/>
  <c r="P99" i="27"/>
  <c r="H100" i="27"/>
  <c r="M99" i="27"/>
  <c r="L99" i="27"/>
  <c r="K100" i="27"/>
  <c r="J99" i="26"/>
  <c r="L99" i="26"/>
  <c r="H100" i="26"/>
  <c r="P100" i="26" s="1"/>
  <c r="K100" i="26"/>
  <c r="M99" i="26"/>
  <c r="N99" i="26"/>
  <c r="K95" i="18"/>
  <c r="I96" i="18"/>
  <c r="N95" i="18"/>
  <c r="L95" i="18"/>
  <c r="J95" i="18"/>
  <c r="H96" i="18"/>
  <c r="M102" i="28" l="1"/>
  <c r="K103" i="28"/>
  <c r="N102" i="28"/>
  <c r="L102" i="28"/>
  <c r="P102" i="28"/>
  <c r="H103" i="28"/>
  <c r="I100" i="27"/>
  <c r="J100" i="27" s="1"/>
  <c r="P100" i="27"/>
  <c r="H101" i="27"/>
  <c r="N100" i="27"/>
  <c r="K101" i="27"/>
  <c r="L100" i="27"/>
  <c r="M100" i="27"/>
  <c r="J100" i="26"/>
  <c r="N100" i="26"/>
  <c r="K101" i="26"/>
  <c r="L100" i="26"/>
  <c r="H101" i="26"/>
  <c r="P101" i="26" s="1"/>
  <c r="M100" i="26"/>
  <c r="I97" i="18"/>
  <c r="K96" i="18"/>
  <c r="N96" i="18"/>
  <c r="J96" i="18"/>
  <c r="L96" i="18"/>
  <c r="H97" i="18"/>
  <c r="M103" i="28" l="1"/>
  <c r="N103" i="28"/>
  <c r="L103" i="28"/>
  <c r="K104" i="28"/>
  <c r="P103" i="28"/>
  <c r="H104" i="28"/>
  <c r="I101" i="27"/>
  <c r="J101" i="27" s="1"/>
  <c r="H102" i="27"/>
  <c r="K102" i="27"/>
  <c r="P101" i="27"/>
  <c r="L101" i="27"/>
  <c r="N101" i="27"/>
  <c r="M101" i="27"/>
  <c r="J101" i="26"/>
  <c r="H102" i="26"/>
  <c r="P102" i="26" s="1"/>
  <c r="L101" i="26"/>
  <c r="N101" i="26"/>
  <c r="M101" i="26"/>
  <c r="K102" i="26"/>
  <c r="I98" i="18"/>
  <c r="K97" i="18"/>
  <c r="J97" i="18"/>
  <c r="N97" i="18"/>
  <c r="L97" i="18"/>
  <c r="H98" i="18"/>
  <c r="M104" i="28" l="1"/>
  <c r="P104" i="28"/>
  <c r="H105" i="28"/>
  <c r="K105" i="28"/>
  <c r="L104" i="28"/>
  <c r="N104" i="28"/>
  <c r="I102" i="27"/>
  <c r="J102" i="27" s="1"/>
  <c r="K103" i="27"/>
  <c r="H103" i="27"/>
  <c r="M102" i="27"/>
  <c r="N102" i="27"/>
  <c r="L102" i="27"/>
  <c r="P102" i="27"/>
  <c r="J102" i="26"/>
  <c r="M102" i="26"/>
  <c r="N102" i="26"/>
  <c r="H103" i="26"/>
  <c r="P103" i="26" s="1"/>
  <c r="L102" i="26"/>
  <c r="K103" i="26"/>
  <c r="K98" i="18"/>
  <c r="I99" i="18"/>
  <c r="J98" i="18"/>
  <c r="N98" i="18"/>
  <c r="L98" i="18"/>
  <c r="H99" i="18"/>
  <c r="M105" i="28" l="1"/>
  <c r="P105" i="28"/>
  <c r="L105" i="28"/>
  <c r="N105" i="28"/>
  <c r="H106" i="28"/>
  <c r="K106" i="28"/>
  <c r="I103" i="27"/>
  <c r="J103" i="27" s="1"/>
  <c r="K104" i="27"/>
  <c r="L103" i="27"/>
  <c r="M103" i="27"/>
  <c r="N103" i="27"/>
  <c r="P103" i="27"/>
  <c r="H104" i="27"/>
  <c r="J103" i="26"/>
  <c r="L103" i="26"/>
  <c r="H104" i="26"/>
  <c r="P104" i="26" s="1"/>
  <c r="N103" i="26"/>
  <c r="K104" i="26"/>
  <c r="M103" i="26"/>
  <c r="I100" i="18"/>
  <c r="K99" i="18"/>
  <c r="J99" i="18"/>
  <c r="L99" i="18"/>
  <c r="N99" i="18"/>
  <c r="H100" i="18"/>
  <c r="M106" i="28" l="1"/>
  <c r="L106" i="28"/>
  <c r="P106" i="28"/>
  <c r="N106" i="28"/>
  <c r="H107" i="28"/>
  <c r="K107" i="28"/>
  <c r="I104" i="27"/>
  <c r="J104" i="27" s="1"/>
  <c r="L104" i="27"/>
  <c r="M104" i="27"/>
  <c r="K105" i="27"/>
  <c r="P104" i="27"/>
  <c r="H105" i="27"/>
  <c r="N104" i="27"/>
  <c r="J104" i="26"/>
  <c r="N104" i="26"/>
  <c r="K105" i="26"/>
  <c r="L104" i="26"/>
  <c r="M104" i="26"/>
  <c r="H105" i="26"/>
  <c r="P105" i="26" s="1"/>
  <c r="I101" i="18"/>
  <c r="K100" i="18"/>
  <c r="J100" i="18"/>
  <c r="L100" i="18"/>
  <c r="N100" i="18"/>
  <c r="H101" i="18"/>
  <c r="H108" i="28" l="1"/>
  <c r="M107" i="28"/>
  <c r="K108" i="28"/>
  <c r="L107" i="28"/>
  <c r="N107" i="28"/>
  <c r="P107" i="28"/>
  <c r="I105" i="27"/>
  <c r="J105" i="27" s="1"/>
  <c r="L105" i="27"/>
  <c r="M105" i="27"/>
  <c r="N105" i="27"/>
  <c r="P105" i="27"/>
  <c r="K106" i="27"/>
  <c r="H106" i="27"/>
  <c r="J105" i="26"/>
  <c r="H106" i="26"/>
  <c r="P106" i="26" s="1"/>
  <c r="L105" i="26"/>
  <c r="N105" i="26"/>
  <c r="M105" i="26"/>
  <c r="K106" i="26"/>
  <c r="I102" i="18"/>
  <c r="K101" i="18"/>
  <c r="L101" i="18"/>
  <c r="N101" i="18"/>
  <c r="J101" i="18"/>
  <c r="H102" i="18"/>
  <c r="H109" i="28" l="1"/>
  <c r="M108" i="28"/>
  <c r="L108" i="28"/>
  <c r="N108" i="28"/>
  <c r="P108" i="28"/>
  <c r="K109" i="28"/>
  <c r="I106" i="27"/>
  <c r="J106" i="27" s="1"/>
  <c r="M106" i="27"/>
  <c r="N106" i="27"/>
  <c r="P106" i="27"/>
  <c r="L106" i="27"/>
  <c r="K107" i="27"/>
  <c r="H107" i="27"/>
  <c r="J106" i="26"/>
  <c r="M106" i="26"/>
  <c r="N106" i="26"/>
  <c r="H107" i="26"/>
  <c r="P107" i="26" s="1"/>
  <c r="L106" i="26"/>
  <c r="K107" i="26"/>
  <c r="I103" i="18"/>
  <c r="K102" i="18"/>
  <c r="N102" i="18"/>
  <c r="J102" i="18"/>
  <c r="L102" i="18"/>
  <c r="H103" i="18"/>
  <c r="H110" i="28" l="1"/>
  <c r="M109" i="28"/>
  <c r="K110" i="28"/>
  <c r="L109" i="28"/>
  <c r="N109" i="28"/>
  <c r="P109" i="28"/>
  <c r="I107" i="27"/>
  <c r="J107" i="27" s="1"/>
  <c r="N107" i="27"/>
  <c r="P107" i="27"/>
  <c r="H108" i="27"/>
  <c r="M107" i="27"/>
  <c r="K108" i="27"/>
  <c r="L107" i="27"/>
  <c r="J107" i="26"/>
  <c r="L107" i="26"/>
  <c r="H108" i="26"/>
  <c r="P108" i="26" s="1"/>
  <c r="K108" i="26"/>
  <c r="M107" i="26"/>
  <c r="N107" i="26"/>
  <c r="K103" i="18"/>
  <c r="I104" i="18"/>
  <c r="N103" i="18"/>
  <c r="J103" i="18"/>
  <c r="L103" i="18"/>
  <c r="H104" i="18"/>
  <c r="H111" i="28" l="1"/>
  <c r="M110" i="28"/>
  <c r="L110" i="28"/>
  <c r="N110" i="28"/>
  <c r="P110" i="28"/>
  <c r="K111" i="28"/>
  <c r="I108" i="27"/>
  <c r="J108" i="27" s="1"/>
  <c r="P108" i="27"/>
  <c r="H109" i="27"/>
  <c r="N108" i="27"/>
  <c r="M108" i="27"/>
  <c r="L108" i="27"/>
  <c r="K109" i="27"/>
  <c r="J108" i="26"/>
  <c r="N108" i="26"/>
  <c r="K109" i="26"/>
  <c r="L108" i="26"/>
  <c r="H109" i="26"/>
  <c r="P109" i="26" s="1"/>
  <c r="M108" i="26"/>
  <c r="K104" i="18"/>
  <c r="I105" i="18"/>
  <c r="N104" i="18"/>
  <c r="J104" i="18"/>
  <c r="L104" i="18"/>
  <c r="H105" i="18"/>
  <c r="H112" i="28" l="1"/>
  <c r="M111" i="28"/>
  <c r="K112" i="28"/>
  <c r="L111" i="28"/>
  <c r="N111" i="28"/>
  <c r="P111" i="28"/>
  <c r="I109" i="27"/>
  <c r="J109" i="27" s="1"/>
  <c r="H110" i="27"/>
  <c r="K110" i="27"/>
  <c r="P109" i="27"/>
  <c r="L109" i="27"/>
  <c r="M109" i="27"/>
  <c r="N109" i="27"/>
  <c r="J109" i="26"/>
  <c r="H110" i="26"/>
  <c r="P110" i="26" s="1"/>
  <c r="L109" i="26"/>
  <c r="N109" i="26"/>
  <c r="M109" i="26"/>
  <c r="K110" i="26"/>
  <c r="I106" i="18"/>
  <c r="K105" i="18"/>
  <c r="J105" i="18"/>
  <c r="L105" i="18"/>
  <c r="N105" i="18"/>
  <c r="H106" i="18"/>
  <c r="H113" i="28" l="1"/>
  <c r="M112" i="28"/>
  <c r="N112" i="28"/>
  <c r="L112" i="28"/>
  <c r="P112" i="28"/>
  <c r="K113" i="28"/>
  <c r="I110" i="27"/>
  <c r="J110" i="27" s="1"/>
  <c r="K111" i="27"/>
  <c r="H111" i="27"/>
  <c r="L110" i="27"/>
  <c r="M110" i="27"/>
  <c r="N110" i="27"/>
  <c r="P110" i="27"/>
  <c r="J110" i="26"/>
  <c r="M110" i="26"/>
  <c r="N110" i="26"/>
  <c r="H111" i="26"/>
  <c r="P111" i="26" s="1"/>
  <c r="L110" i="26"/>
  <c r="K111" i="26"/>
  <c r="I107" i="18"/>
  <c r="K106" i="18"/>
  <c r="J106" i="18"/>
  <c r="L106" i="18"/>
  <c r="N106" i="18"/>
  <c r="H107" i="18"/>
  <c r="H114" i="28" l="1"/>
  <c r="M113" i="28"/>
  <c r="K114" i="28"/>
  <c r="L113" i="28"/>
  <c r="N113" i="28"/>
  <c r="P113" i="28"/>
  <c r="I111" i="27"/>
  <c r="J111" i="27" s="1"/>
  <c r="K112" i="27"/>
  <c r="L111" i="27"/>
  <c r="N111" i="27"/>
  <c r="P111" i="27"/>
  <c r="M111" i="27"/>
  <c r="H112" i="27"/>
  <c r="J111" i="26"/>
  <c r="L111" i="26"/>
  <c r="H112" i="26"/>
  <c r="P112" i="26" s="1"/>
  <c r="N111" i="26"/>
  <c r="K112" i="26"/>
  <c r="M111" i="26"/>
  <c r="I108" i="18"/>
  <c r="K107" i="18"/>
  <c r="J107" i="18"/>
  <c r="L107" i="18"/>
  <c r="N107" i="18"/>
  <c r="H108" i="18"/>
  <c r="H115" i="28" l="1"/>
  <c r="M114" i="28"/>
  <c r="L114" i="28"/>
  <c r="N114" i="28"/>
  <c r="P114" i="28"/>
  <c r="K115" i="28"/>
  <c r="I112" i="27"/>
  <c r="J112" i="27" s="1"/>
  <c r="L112" i="27"/>
  <c r="M112" i="27"/>
  <c r="K113" i="27"/>
  <c r="N112" i="27"/>
  <c r="P112" i="27"/>
  <c r="H113" i="27"/>
  <c r="J112" i="26"/>
  <c r="N112" i="26"/>
  <c r="K113" i="26"/>
  <c r="L112" i="26"/>
  <c r="M112" i="26"/>
  <c r="H113" i="26"/>
  <c r="P113" i="26" s="1"/>
  <c r="I109" i="18"/>
  <c r="K108" i="18"/>
  <c r="J108" i="18"/>
  <c r="L108" i="18"/>
  <c r="N108" i="18"/>
  <c r="H109" i="18"/>
  <c r="H116" i="28" l="1"/>
  <c r="M115" i="28"/>
  <c r="K116" i="28"/>
  <c r="L115" i="28"/>
  <c r="N115" i="28"/>
  <c r="P115" i="28"/>
  <c r="I113" i="27"/>
  <c r="J113" i="27" s="1"/>
  <c r="L113" i="27"/>
  <c r="M113" i="27"/>
  <c r="N113" i="27"/>
  <c r="H114" i="27"/>
  <c r="P113" i="27"/>
  <c r="K114" i="27"/>
  <c r="J113" i="26"/>
  <c r="H114" i="26"/>
  <c r="P114" i="26" s="1"/>
  <c r="L113" i="26"/>
  <c r="N113" i="26"/>
  <c r="M113" i="26"/>
  <c r="K114" i="26"/>
  <c r="I110" i="18"/>
  <c r="K109" i="18"/>
  <c r="L109" i="18"/>
  <c r="J109" i="18"/>
  <c r="N109" i="18"/>
  <c r="H110" i="18"/>
  <c r="H117" i="28" l="1"/>
  <c r="M116" i="28"/>
  <c r="N116" i="28"/>
  <c r="L116" i="28"/>
  <c r="P116" i="28"/>
  <c r="K117" i="28"/>
  <c r="I114" i="27"/>
  <c r="J114" i="27" s="1"/>
  <c r="M114" i="27"/>
  <c r="N114" i="27"/>
  <c r="P114" i="27"/>
  <c r="L114" i="27"/>
  <c r="H115" i="27"/>
  <c r="K115" i="27"/>
  <c r="J114" i="26"/>
  <c r="M114" i="26"/>
  <c r="N114" i="26"/>
  <c r="H115" i="26"/>
  <c r="P115" i="26" s="1"/>
  <c r="L114" i="26"/>
  <c r="K115" i="26"/>
  <c r="I111" i="18"/>
  <c r="K110" i="18"/>
  <c r="J110" i="18"/>
  <c r="N110" i="18"/>
  <c r="L110" i="18"/>
  <c r="H111" i="18"/>
  <c r="H118" i="28" l="1"/>
  <c r="M117" i="28"/>
  <c r="K118" i="28"/>
  <c r="L117" i="28"/>
  <c r="N117" i="28"/>
  <c r="P117" i="28"/>
  <c r="I115" i="27"/>
  <c r="J115" i="27" s="1"/>
  <c r="N115" i="27"/>
  <c r="P115" i="27"/>
  <c r="H116" i="27"/>
  <c r="M115" i="27"/>
  <c r="L115" i="27"/>
  <c r="K116" i="27"/>
  <c r="J115" i="26"/>
  <c r="L115" i="26"/>
  <c r="H116" i="26"/>
  <c r="P116" i="26" s="1"/>
  <c r="K116" i="26"/>
  <c r="M115" i="26"/>
  <c r="N115" i="26"/>
  <c r="K111" i="18"/>
  <c r="I112" i="18"/>
  <c r="N111" i="18"/>
  <c r="L111" i="18"/>
  <c r="J111" i="18"/>
  <c r="H112" i="18"/>
  <c r="H119" i="28" l="1"/>
  <c r="M118" i="28"/>
  <c r="L118" i="28"/>
  <c r="N118" i="28"/>
  <c r="P118" i="28"/>
  <c r="K119" i="28"/>
  <c r="I116" i="27"/>
  <c r="J116" i="27" s="1"/>
  <c r="P116" i="27"/>
  <c r="H117" i="27"/>
  <c r="N116" i="27"/>
  <c r="K117" i="27"/>
  <c r="L116" i="27"/>
  <c r="M116" i="27"/>
  <c r="J116" i="26"/>
  <c r="N116" i="26"/>
  <c r="K117" i="26"/>
  <c r="L116" i="26"/>
  <c r="H117" i="26"/>
  <c r="P117" i="26" s="1"/>
  <c r="M116" i="26"/>
  <c r="I113" i="18"/>
  <c r="K112" i="18"/>
  <c r="N112" i="18"/>
  <c r="L112" i="18"/>
  <c r="J112" i="18"/>
  <c r="H113" i="18"/>
  <c r="H120" i="28" l="1"/>
  <c r="M119" i="28"/>
  <c r="K120" i="28"/>
  <c r="L119" i="28"/>
  <c r="P119" i="28"/>
  <c r="N119" i="28"/>
  <c r="I117" i="27"/>
  <c r="J117" i="27" s="1"/>
  <c r="H118" i="27"/>
  <c r="K118" i="27"/>
  <c r="P117" i="27"/>
  <c r="L117" i="27"/>
  <c r="M117" i="27"/>
  <c r="N117" i="27"/>
  <c r="J117" i="26"/>
  <c r="H118" i="26"/>
  <c r="P118" i="26" s="1"/>
  <c r="L117" i="26"/>
  <c r="N117" i="26"/>
  <c r="M117" i="26"/>
  <c r="K118" i="26"/>
  <c r="K113" i="18"/>
  <c r="I114" i="18"/>
  <c r="J113" i="18"/>
  <c r="N113" i="18"/>
  <c r="L113" i="18"/>
  <c r="H114" i="18"/>
  <c r="H121" i="28" l="1"/>
  <c r="M120" i="28"/>
  <c r="N120" i="28"/>
  <c r="L120" i="28"/>
  <c r="P120" i="28"/>
  <c r="K121" i="28"/>
  <c r="I118" i="27"/>
  <c r="J118" i="27" s="1"/>
  <c r="K119" i="27"/>
  <c r="H119" i="27"/>
  <c r="M118" i="27"/>
  <c r="N118" i="27"/>
  <c r="L118" i="27"/>
  <c r="P118" i="27"/>
  <c r="J118" i="26"/>
  <c r="M118" i="26"/>
  <c r="N118" i="26"/>
  <c r="H119" i="26"/>
  <c r="P119" i="26" s="1"/>
  <c r="K119" i="26"/>
  <c r="L118" i="26"/>
  <c r="K114" i="18"/>
  <c r="I115" i="18"/>
  <c r="N114" i="18"/>
  <c r="L114" i="18"/>
  <c r="J114" i="18"/>
  <c r="H115" i="18"/>
  <c r="H122" i="28" l="1"/>
  <c r="M121" i="28"/>
  <c r="K122" i="28"/>
  <c r="L121" i="28"/>
  <c r="N121" i="28"/>
  <c r="P121" i="28"/>
  <c r="I119" i="27"/>
  <c r="J119" i="27" s="1"/>
  <c r="K120" i="27"/>
  <c r="L119" i="27"/>
  <c r="M119" i="27"/>
  <c r="H120" i="27"/>
  <c r="N119" i="27"/>
  <c r="P119" i="27"/>
  <c r="J119" i="26"/>
  <c r="L119" i="26"/>
  <c r="H120" i="26"/>
  <c r="P120" i="26" s="1"/>
  <c r="N119" i="26"/>
  <c r="K120" i="26"/>
  <c r="M119" i="26"/>
  <c r="I116" i="18"/>
  <c r="K115" i="18"/>
  <c r="J115" i="18"/>
  <c r="L115" i="18"/>
  <c r="N115" i="18"/>
  <c r="H116" i="18"/>
  <c r="H123" i="28" l="1"/>
  <c r="M122" i="28"/>
  <c r="L122" i="28"/>
  <c r="N122" i="28"/>
  <c r="P122" i="28"/>
  <c r="K123" i="28"/>
  <c r="I120" i="27"/>
  <c r="J120" i="27" s="1"/>
  <c r="L120" i="27"/>
  <c r="M120" i="27"/>
  <c r="K121" i="27"/>
  <c r="P120" i="27"/>
  <c r="H121" i="27"/>
  <c r="N120" i="27"/>
  <c r="J120" i="26"/>
  <c r="N120" i="26"/>
  <c r="K121" i="26"/>
  <c r="L120" i="26"/>
  <c r="M120" i="26"/>
  <c r="H121" i="26"/>
  <c r="P121" i="26" s="1"/>
  <c r="I117" i="18"/>
  <c r="K116" i="18"/>
  <c r="J116" i="18"/>
  <c r="L116" i="18"/>
  <c r="N116" i="18"/>
  <c r="H117" i="18"/>
  <c r="H124" i="28" l="1"/>
  <c r="M123" i="28"/>
  <c r="K124" i="28"/>
  <c r="L123" i="28"/>
  <c r="N123" i="28"/>
  <c r="P123" i="28"/>
  <c r="I121" i="27"/>
  <c r="J121" i="27" s="1"/>
  <c r="L121" i="27"/>
  <c r="M121" i="27"/>
  <c r="N121" i="27"/>
  <c r="P121" i="27"/>
  <c r="H122" i="27"/>
  <c r="K122" i="27"/>
  <c r="J121" i="26"/>
  <c r="H122" i="26"/>
  <c r="P122" i="26" s="1"/>
  <c r="L121" i="26"/>
  <c r="N121" i="26"/>
  <c r="M121" i="26"/>
  <c r="K122" i="26"/>
  <c r="I118" i="18"/>
  <c r="K117" i="18"/>
  <c r="L117" i="18"/>
  <c r="N117" i="18"/>
  <c r="J117" i="18"/>
  <c r="H118" i="18"/>
  <c r="H125" i="28" l="1"/>
  <c r="M124" i="28"/>
  <c r="N124" i="28"/>
  <c r="L124" i="28"/>
  <c r="P124" i="28"/>
  <c r="K125" i="28"/>
  <c r="I122" i="27"/>
  <c r="J122" i="27" s="1"/>
  <c r="M122" i="27"/>
  <c r="N122" i="27"/>
  <c r="P122" i="27"/>
  <c r="L122" i="27"/>
  <c r="K123" i="27"/>
  <c r="H123" i="27"/>
  <c r="J122" i="26"/>
  <c r="M122" i="26"/>
  <c r="N122" i="26"/>
  <c r="H123" i="26"/>
  <c r="P123" i="26" s="1"/>
  <c r="L122" i="26"/>
  <c r="K123" i="26"/>
  <c r="I119" i="18"/>
  <c r="K118" i="18"/>
  <c r="J118" i="18"/>
  <c r="N118" i="18"/>
  <c r="L118" i="18"/>
  <c r="H119" i="18"/>
  <c r="H126" i="28" l="1"/>
  <c r="M125" i="28"/>
  <c r="K126" i="28"/>
  <c r="L125" i="28"/>
  <c r="N125" i="28"/>
  <c r="P125" i="28"/>
  <c r="I123" i="27"/>
  <c r="J123" i="27" s="1"/>
  <c r="N123" i="27"/>
  <c r="P123" i="27"/>
  <c r="H124" i="27"/>
  <c r="M123" i="27"/>
  <c r="K124" i="27"/>
  <c r="L123" i="27"/>
  <c r="J123" i="26"/>
  <c r="L123" i="26"/>
  <c r="H124" i="26"/>
  <c r="P124" i="26" s="1"/>
  <c r="K124" i="26"/>
  <c r="M123" i="26"/>
  <c r="N123" i="26"/>
  <c r="K119" i="18"/>
  <c r="I120" i="18"/>
  <c r="N119" i="18"/>
  <c r="J119" i="18"/>
  <c r="L119" i="18"/>
  <c r="H120" i="18"/>
  <c r="H127" i="28" l="1"/>
  <c r="M126" i="28"/>
  <c r="L126" i="28"/>
  <c r="N126" i="28"/>
  <c r="P126" i="28"/>
  <c r="K127" i="28"/>
  <c r="I124" i="27"/>
  <c r="J124" i="27" s="1"/>
  <c r="P124" i="27"/>
  <c r="H125" i="27"/>
  <c r="N124" i="27"/>
  <c r="L124" i="27"/>
  <c r="M124" i="27"/>
  <c r="K125" i="27"/>
  <c r="J124" i="26"/>
  <c r="N124" i="26"/>
  <c r="K125" i="26"/>
  <c r="L124" i="26"/>
  <c r="H125" i="26"/>
  <c r="P125" i="26" s="1"/>
  <c r="M124" i="26"/>
  <c r="I121" i="18"/>
  <c r="K120" i="18"/>
  <c r="N120" i="18"/>
  <c r="J120" i="18"/>
  <c r="L120" i="18"/>
  <c r="H121" i="18"/>
  <c r="H128" i="28" l="1"/>
  <c r="M127" i="28"/>
  <c r="K128" i="28"/>
  <c r="L127" i="28"/>
  <c r="N127" i="28"/>
  <c r="P127" i="28"/>
  <c r="I125" i="27"/>
  <c r="J125" i="27" s="1"/>
  <c r="H126" i="27"/>
  <c r="K126" i="27"/>
  <c r="P125" i="27"/>
  <c r="L125" i="27"/>
  <c r="M125" i="27"/>
  <c r="N125" i="27"/>
  <c r="J125" i="26"/>
  <c r="H126" i="26"/>
  <c r="P126" i="26" s="1"/>
  <c r="L125" i="26"/>
  <c r="N125" i="26"/>
  <c r="M125" i="26"/>
  <c r="K126" i="26"/>
  <c r="I122" i="18"/>
  <c r="K121" i="18"/>
  <c r="L121" i="18"/>
  <c r="N121" i="18"/>
  <c r="J121" i="18"/>
  <c r="H122" i="18"/>
  <c r="H129" i="28" l="1"/>
  <c r="M128" i="28"/>
  <c r="N128" i="28"/>
  <c r="L128" i="28"/>
  <c r="P128" i="28"/>
  <c r="K129" i="28"/>
  <c r="I126" i="27"/>
  <c r="J126" i="27" s="1"/>
  <c r="K127" i="27"/>
  <c r="H127" i="27"/>
  <c r="L126" i="27"/>
  <c r="P126" i="27"/>
  <c r="M126" i="27"/>
  <c r="N126" i="27"/>
  <c r="J126" i="26"/>
  <c r="M126" i="26"/>
  <c r="N126" i="26"/>
  <c r="H127" i="26"/>
  <c r="P127" i="26" s="1"/>
  <c r="L126" i="26"/>
  <c r="K127" i="26"/>
  <c r="K122" i="18"/>
  <c r="I123" i="18"/>
  <c r="N122" i="18"/>
  <c r="L122" i="18"/>
  <c r="J122" i="18"/>
  <c r="H123" i="18"/>
  <c r="H130" i="28" l="1"/>
  <c r="M129" i="28"/>
  <c r="K130" i="28"/>
  <c r="L129" i="28"/>
  <c r="N129" i="28"/>
  <c r="P129" i="28"/>
  <c r="I127" i="27"/>
  <c r="J127" i="27" s="1"/>
  <c r="K128" i="27"/>
  <c r="L127" i="27"/>
  <c r="N127" i="27"/>
  <c r="P127" i="27"/>
  <c r="M127" i="27"/>
  <c r="H128" i="27"/>
  <c r="J127" i="26"/>
  <c r="L127" i="26"/>
  <c r="H128" i="26"/>
  <c r="P128" i="26" s="1"/>
  <c r="N127" i="26"/>
  <c r="K128" i="26"/>
  <c r="M127" i="26"/>
  <c r="K123" i="18"/>
  <c r="I124" i="18"/>
  <c r="J123" i="18"/>
  <c r="N123" i="18"/>
  <c r="L123" i="18"/>
  <c r="H124" i="18"/>
  <c r="H131" i="28" l="1"/>
  <c r="M130" i="28"/>
  <c r="L130" i="28"/>
  <c r="N130" i="28"/>
  <c r="P130" i="28"/>
  <c r="K131" i="28"/>
  <c r="I128" i="27"/>
  <c r="J128" i="27" s="1"/>
  <c r="L128" i="27"/>
  <c r="M128" i="27"/>
  <c r="K129" i="27"/>
  <c r="N128" i="27"/>
  <c r="P128" i="27"/>
  <c r="H129" i="27"/>
  <c r="J128" i="26"/>
  <c r="N128" i="26"/>
  <c r="K129" i="26"/>
  <c r="L128" i="26"/>
  <c r="M128" i="26"/>
  <c r="H129" i="26"/>
  <c r="P129" i="26" s="1"/>
  <c r="I125" i="18"/>
  <c r="K124" i="18"/>
  <c r="J124" i="18"/>
  <c r="L124" i="18"/>
  <c r="N124" i="18"/>
  <c r="H125" i="18"/>
  <c r="H132" i="28" l="1"/>
  <c r="M131" i="28"/>
  <c r="K132" i="28"/>
  <c r="L131" i="28"/>
  <c r="N131" i="28"/>
  <c r="P131" i="28"/>
  <c r="I129" i="27"/>
  <c r="J129" i="27" s="1"/>
  <c r="L129" i="27"/>
  <c r="M129" i="27"/>
  <c r="N129" i="27"/>
  <c r="H130" i="27"/>
  <c r="P129" i="27"/>
  <c r="K130" i="27"/>
  <c r="J129" i="26"/>
  <c r="H130" i="26"/>
  <c r="P130" i="26" s="1"/>
  <c r="L129" i="26"/>
  <c r="N129" i="26"/>
  <c r="M129" i="26"/>
  <c r="K130" i="26"/>
  <c r="I126" i="18"/>
  <c r="K125" i="18"/>
  <c r="L125" i="18"/>
  <c r="J125" i="18"/>
  <c r="N125" i="18"/>
  <c r="H126" i="18"/>
  <c r="H133" i="28" l="1"/>
  <c r="M132" i="28"/>
  <c r="L132" i="28"/>
  <c r="N132" i="28"/>
  <c r="P132" i="28"/>
  <c r="K133" i="28"/>
  <c r="I130" i="27"/>
  <c r="J130" i="27" s="1"/>
  <c r="M130" i="27"/>
  <c r="N130" i="27"/>
  <c r="P130" i="27"/>
  <c r="L130" i="27"/>
  <c r="H131" i="27"/>
  <c r="K131" i="27"/>
  <c r="J130" i="26"/>
  <c r="M130" i="26"/>
  <c r="N130" i="26"/>
  <c r="H131" i="26"/>
  <c r="P131" i="26" s="1"/>
  <c r="L130" i="26"/>
  <c r="K131" i="26"/>
  <c r="I127" i="18"/>
  <c r="K126" i="18"/>
  <c r="N126" i="18"/>
  <c r="J126" i="18"/>
  <c r="L126" i="18"/>
  <c r="H127" i="18"/>
  <c r="H134" i="28" l="1"/>
  <c r="M133" i="28"/>
  <c r="K134" i="28"/>
  <c r="L133" i="28"/>
  <c r="N133" i="28"/>
  <c r="P133" i="28"/>
  <c r="I131" i="27"/>
  <c r="J131" i="27" s="1"/>
  <c r="N131" i="27"/>
  <c r="P131" i="27"/>
  <c r="H132" i="27"/>
  <c r="M131" i="27"/>
  <c r="L131" i="27"/>
  <c r="K132" i="27"/>
  <c r="J131" i="26"/>
  <c r="L131" i="26"/>
  <c r="H132" i="26"/>
  <c r="P132" i="26" s="1"/>
  <c r="K132" i="26"/>
  <c r="M131" i="26"/>
  <c r="N131" i="26"/>
  <c r="K127" i="18"/>
  <c r="I128" i="18"/>
  <c r="N127" i="18"/>
  <c r="L127" i="18"/>
  <c r="J127" i="18"/>
  <c r="H128" i="18"/>
  <c r="H135" i="28" l="1"/>
  <c r="M134" i="28"/>
  <c r="N134" i="28"/>
  <c r="L134" i="28"/>
  <c r="P134" i="28"/>
  <c r="K135" i="28"/>
  <c r="I132" i="27"/>
  <c r="J132" i="27" s="1"/>
  <c r="P132" i="27"/>
  <c r="H133" i="27"/>
  <c r="N132" i="27"/>
  <c r="K133" i="27"/>
  <c r="L132" i="27"/>
  <c r="M132" i="27"/>
  <c r="J132" i="26"/>
  <c r="N132" i="26"/>
  <c r="K133" i="26"/>
  <c r="L132" i="26"/>
  <c r="H133" i="26"/>
  <c r="P133" i="26" s="1"/>
  <c r="M132" i="26"/>
  <c r="I129" i="18"/>
  <c r="K128" i="18"/>
  <c r="N128" i="18"/>
  <c r="J128" i="18"/>
  <c r="L128" i="18"/>
  <c r="H129" i="18"/>
  <c r="H136" i="28" l="1"/>
  <c r="M135" i="28"/>
  <c r="K136" i="28"/>
  <c r="L135" i="28"/>
  <c r="P135" i="28"/>
  <c r="N135" i="28"/>
  <c r="I133" i="27"/>
  <c r="J133" i="27" s="1"/>
  <c r="H134" i="27"/>
  <c r="K134" i="27"/>
  <c r="P133" i="27"/>
  <c r="N133" i="27"/>
  <c r="L133" i="27"/>
  <c r="M133" i="27"/>
  <c r="J133" i="26"/>
  <c r="H134" i="26"/>
  <c r="P134" i="26" s="1"/>
  <c r="L133" i="26"/>
  <c r="N133" i="26"/>
  <c r="M133" i="26"/>
  <c r="K134" i="26"/>
  <c r="I130" i="18"/>
  <c r="K129" i="18"/>
  <c r="L129" i="18"/>
  <c r="J129" i="18"/>
  <c r="N129" i="18"/>
  <c r="H130" i="18"/>
  <c r="H137" i="28" l="1"/>
  <c r="M136" i="28"/>
  <c r="L136" i="28"/>
  <c r="N136" i="28"/>
  <c r="P136" i="28"/>
  <c r="K137" i="28"/>
  <c r="I134" i="27"/>
  <c r="J134" i="27" s="1"/>
  <c r="K135" i="27"/>
  <c r="H135" i="27"/>
  <c r="M134" i="27"/>
  <c r="N134" i="27"/>
  <c r="P134" i="27"/>
  <c r="L134" i="27"/>
  <c r="J134" i="26"/>
  <c r="M134" i="26"/>
  <c r="N134" i="26"/>
  <c r="H135" i="26"/>
  <c r="P135" i="26" s="1"/>
  <c r="K135" i="26"/>
  <c r="L134" i="26"/>
  <c r="I131" i="18"/>
  <c r="K130" i="18"/>
  <c r="J130" i="18"/>
  <c r="L130" i="18"/>
  <c r="N130" i="18"/>
  <c r="H131" i="18"/>
  <c r="H138" i="28" l="1"/>
  <c r="M137" i="28"/>
  <c r="K138" i="28"/>
  <c r="L137" i="28"/>
  <c r="N137" i="28"/>
  <c r="P137" i="28"/>
  <c r="I135" i="27"/>
  <c r="J135" i="27" s="1"/>
  <c r="K136" i="27"/>
  <c r="L135" i="27"/>
  <c r="M135" i="27"/>
  <c r="N135" i="27"/>
  <c r="H136" i="27"/>
  <c r="P135" i="27"/>
  <c r="J135" i="26"/>
  <c r="L135" i="26"/>
  <c r="H136" i="26"/>
  <c r="P136" i="26" s="1"/>
  <c r="N135" i="26"/>
  <c r="K136" i="26"/>
  <c r="M135" i="26"/>
  <c r="I132" i="18"/>
  <c r="K131" i="18"/>
  <c r="J131" i="18"/>
  <c r="L131" i="18"/>
  <c r="N131" i="18"/>
  <c r="H132" i="18"/>
  <c r="H139" i="28" l="1"/>
  <c r="M138" i="28"/>
  <c r="N138" i="28"/>
  <c r="L138" i="28"/>
  <c r="P138" i="28"/>
  <c r="K139" i="28"/>
  <c r="I136" i="27"/>
  <c r="J136" i="27" s="1"/>
  <c r="L136" i="27"/>
  <c r="M136" i="27"/>
  <c r="K137" i="27"/>
  <c r="P136" i="27"/>
  <c r="H137" i="27"/>
  <c r="N136" i="27"/>
  <c r="J136" i="26"/>
  <c r="N136" i="26"/>
  <c r="K137" i="26"/>
  <c r="L136" i="26"/>
  <c r="M136" i="26"/>
  <c r="H137" i="26"/>
  <c r="P137" i="26" s="1"/>
  <c r="I133" i="18"/>
  <c r="K132" i="18"/>
  <c r="J132" i="18"/>
  <c r="L132" i="18"/>
  <c r="N132" i="18"/>
  <c r="H133" i="18"/>
  <c r="H140" i="28" l="1"/>
  <c r="M139" i="28"/>
  <c r="K140" i="28"/>
  <c r="L139" i="28"/>
  <c r="N139" i="28"/>
  <c r="P139" i="28"/>
  <c r="I137" i="27"/>
  <c r="J137" i="27" s="1"/>
  <c r="L137" i="27"/>
  <c r="M137" i="27"/>
  <c r="N137" i="27"/>
  <c r="P137" i="27"/>
  <c r="H138" i="27"/>
  <c r="K138" i="27"/>
  <c r="J137" i="26"/>
  <c r="H138" i="26"/>
  <c r="P138" i="26" s="1"/>
  <c r="L137" i="26"/>
  <c r="N137" i="26"/>
  <c r="M137" i="26"/>
  <c r="K138" i="26"/>
  <c r="I134" i="18"/>
  <c r="K133" i="18"/>
  <c r="L133" i="18"/>
  <c r="N133" i="18"/>
  <c r="J133" i="18"/>
  <c r="H134" i="18"/>
  <c r="H141" i="28" l="1"/>
  <c r="M140" i="28"/>
  <c r="N140" i="28"/>
  <c r="L140" i="28"/>
  <c r="P140" i="28"/>
  <c r="K141" i="28"/>
  <c r="I138" i="27"/>
  <c r="J138" i="27" s="1"/>
  <c r="M138" i="27"/>
  <c r="N138" i="27"/>
  <c r="P138" i="27"/>
  <c r="L138" i="27"/>
  <c r="K139" i="27"/>
  <c r="H139" i="27"/>
  <c r="J138" i="26"/>
  <c r="M138" i="26"/>
  <c r="N138" i="26"/>
  <c r="H139" i="26"/>
  <c r="P139" i="26" s="1"/>
  <c r="L138" i="26"/>
  <c r="K139" i="26"/>
  <c r="I135" i="18"/>
  <c r="K134" i="18"/>
  <c r="N134" i="18"/>
  <c r="L134" i="18"/>
  <c r="J134" i="18"/>
  <c r="H135" i="18"/>
  <c r="H142" i="28" l="1"/>
  <c r="M141" i="28"/>
  <c r="K142" i="28"/>
  <c r="L141" i="28"/>
  <c r="N141" i="28"/>
  <c r="P141" i="28"/>
  <c r="I139" i="27"/>
  <c r="J139" i="27" s="1"/>
  <c r="N139" i="27"/>
  <c r="P139" i="27"/>
  <c r="H140" i="27"/>
  <c r="M139" i="27"/>
  <c r="K140" i="27"/>
  <c r="L139" i="27"/>
  <c r="J139" i="26"/>
  <c r="L139" i="26"/>
  <c r="H140" i="26"/>
  <c r="P140" i="26" s="1"/>
  <c r="K140" i="26"/>
  <c r="M139" i="26"/>
  <c r="N139" i="26"/>
  <c r="K135" i="18"/>
  <c r="I136" i="18"/>
  <c r="N135" i="18"/>
  <c r="L135" i="18"/>
  <c r="J135" i="18"/>
  <c r="H136" i="18"/>
  <c r="H143" i="28" l="1"/>
  <c r="M142" i="28"/>
  <c r="L142" i="28"/>
  <c r="N142" i="28"/>
  <c r="P142" i="28"/>
  <c r="K143" i="28"/>
  <c r="I140" i="27"/>
  <c r="J140" i="27" s="1"/>
  <c r="P140" i="27"/>
  <c r="H141" i="27"/>
  <c r="N140" i="27"/>
  <c r="M140" i="27"/>
  <c r="L140" i="27"/>
  <c r="K141" i="27"/>
  <c r="J140" i="26"/>
  <c r="N140" i="26"/>
  <c r="K141" i="26"/>
  <c r="L140" i="26"/>
  <c r="H141" i="26"/>
  <c r="P141" i="26" s="1"/>
  <c r="M140" i="26"/>
  <c r="K136" i="18"/>
  <c r="I137" i="18"/>
  <c r="N136" i="18"/>
  <c r="J136" i="18"/>
  <c r="L136" i="18"/>
  <c r="H137" i="18"/>
  <c r="H144" i="28" l="1"/>
  <c r="M143" i="28"/>
  <c r="K144" i="28"/>
  <c r="L143" i="28"/>
  <c r="P143" i="28"/>
  <c r="N143" i="28"/>
  <c r="I141" i="27"/>
  <c r="J141" i="27" s="1"/>
  <c r="H142" i="27"/>
  <c r="K142" i="27"/>
  <c r="P141" i="27"/>
  <c r="L141" i="27"/>
  <c r="M141" i="27"/>
  <c r="N141" i="27"/>
  <c r="J141" i="26"/>
  <c r="H142" i="26"/>
  <c r="P142" i="26" s="1"/>
  <c r="L141" i="26"/>
  <c r="N141" i="26"/>
  <c r="M141" i="26"/>
  <c r="K142" i="26"/>
  <c r="K137" i="18"/>
  <c r="I138" i="18"/>
  <c r="J137" i="18"/>
  <c r="L137" i="18"/>
  <c r="N137" i="18"/>
  <c r="H138" i="18"/>
  <c r="H145" i="28" l="1"/>
  <c r="M144" i="28"/>
  <c r="N144" i="28"/>
  <c r="L144" i="28"/>
  <c r="P144" i="28"/>
  <c r="K145" i="28"/>
  <c r="I142" i="27"/>
  <c r="J142" i="27" s="1"/>
  <c r="K143" i="27"/>
  <c r="H143" i="27"/>
  <c r="L142" i="27"/>
  <c r="M142" i="27"/>
  <c r="P142" i="27"/>
  <c r="N142" i="27"/>
  <c r="J142" i="26"/>
  <c r="M142" i="26"/>
  <c r="N142" i="26"/>
  <c r="H143" i="26"/>
  <c r="P143" i="26" s="1"/>
  <c r="K143" i="26"/>
  <c r="L142" i="26"/>
  <c r="K138" i="18"/>
  <c r="I139" i="18"/>
  <c r="J138" i="18"/>
  <c r="N138" i="18"/>
  <c r="L138" i="18"/>
  <c r="H139" i="18"/>
  <c r="H146" i="28" l="1"/>
  <c r="M145" i="28"/>
  <c r="K146" i="28"/>
  <c r="L145" i="28"/>
  <c r="N145" i="28"/>
  <c r="P145" i="28"/>
  <c r="I143" i="27"/>
  <c r="J143" i="27" s="1"/>
  <c r="K144" i="27"/>
  <c r="L143" i="27"/>
  <c r="N143" i="27"/>
  <c r="P143" i="27"/>
  <c r="M143" i="27"/>
  <c r="H144" i="27"/>
  <c r="J143" i="26"/>
  <c r="L143" i="26"/>
  <c r="H144" i="26"/>
  <c r="P144" i="26" s="1"/>
  <c r="N143" i="26"/>
  <c r="K144" i="26"/>
  <c r="M143" i="26"/>
  <c r="K139" i="18"/>
  <c r="I140" i="18"/>
  <c r="J139" i="18"/>
  <c r="L139" i="18"/>
  <c r="N139" i="18"/>
  <c r="H140" i="18"/>
  <c r="H147" i="28" l="1"/>
  <c r="M146" i="28"/>
  <c r="L146" i="28"/>
  <c r="N146" i="28"/>
  <c r="P146" i="28"/>
  <c r="K147" i="28"/>
  <c r="I144" i="27"/>
  <c r="J144" i="27" s="1"/>
  <c r="L144" i="27"/>
  <c r="M144" i="27"/>
  <c r="K145" i="27"/>
  <c r="N144" i="27"/>
  <c r="P144" i="27"/>
  <c r="H145" i="27"/>
  <c r="J144" i="26"/>
  <c r="N144" i="26"/>
  <c r="K145" i="26"/>
  <c r="L144" i="26"/>
  <c r="M144" i="26"/>
  <c r="H145" i="26"/>
  <c r="P145" i="26" s="1"/>
  <c r="I141" i="18"/>
  <c r="K140" i="18"/>
  <c r="J140" i="18"/>
  <c r="L140" i="18"/>
  <c r="N140" i="18"/>
  <c r="H141" i="18"/>
  <c r="H148" i="28" l="1"/>
  <c r="M147" i="28"/>
  <c r="K148" i="28"/>
  <c r="L147" i="28"/>
  <c r="P147" i="28"/>
  <c r="N147" i="28"/>
  <c r="I145" i="27"/>
  <c r="J145" i="27" s="1"/>
  <c r="L145" i="27"/>
  <c r="M145" i="27"/>
  <c r="N145" i="27"/>
  <c r="H146" i="27"/>
  <c r="P145" i="27"/>
  <c r="K146" i="27"/>
  <c r="J145" i="26"/>
  <c r="H146" i="26"/>
  <c r="P146" i="26" s="1"/>
  <c r="L145" i="26"/>
  <c r="N145" i="26"/>
  <c r="M145" i="26"/>
  <c r="K146" i="26"/>
  <c r="I142" i="18"/>
  <c r="K141" i="18"/>
  <c r="L141" i="18"/>
  <c r="J141" i="18"/>
  <c r="N141" i="18"/>
  <c r="H142" i="18"/>
  <c r="H149" i="28" l="1"/>
  <c r="M148" i="28"/>
  <c r="N148" i="28"/>
  <c r="L148" i="28"/>
  <c r="P148" i="28"/>
  <c r="K149" i="28"/>
  <c r="I146" i="27"/>
  <c r="J146" i="27" s="1"/>
  <c r="M146" i="27"/>
  <c r="N146" i="27"/>
  <c r="P146" i="27"/>
  <c r="L146" i="27"/>
  <c r="H147" i="27"/>
  <c r="K147" i="27"/>
  <c r="J146" i="26"/>
  <c r="M146" i="26"/>
  <c r="N146" i="26"/>
  <c r="H147" i="26"/>
  <c r="P147" i="26" s="1"/>
  <c r="L146" i="26"/>
  <c r="K147" i="26"/>
  <c r="I143" i="18"/>
  <c r="K142" i="18"/>
  <c r="J142" i="18"/>
  <c r="N142" i="18"/>
  <c r="L142" i="18"/>
  <c r="H143" i="18"/>
  <c r="H150" i="28" l="1"/>
  <c r="M149" i="28"/>
  <c r="K150" i="28"/>
  <c r="L149" i="28"/>
  <c r="N149" i="28"/>
  <c r="P149" i="28"/>
  <c r="I147" i="27"/>
  <c r="J147" i="27" s="1"/>
  <c r="N147" i="27"/>
  <c r="P147" i="27"/>
  <c r="H148" i="27"/>
  <c r="M147" i="27"/>
  <c r="L147" i="27"/>
  <c r="K148" i="27"/>
  <c r="J147" i="26"/>
  <c r="L147" i="26"/>
  <c r="H148" i="26"/>
  <c r="P148" i="26" s="1"/>
  <c r="K148" i="26"/>
  <c r="M147" i="26"/>
  <c r="N147" i="26"/>
  <c r="K143" i="18"/>
  <c r="I144" i="18"/>
  <c r="N143" i="18"/>
  <c r="L143" i="18"/>
  <c r="J143" i="18"/>
  <c r="H144" i="18"/>
  <c r="H151" i="28" l="1"/>
  <c r="M150" i="28"/>
  <c r="L150" i="28"/>
  <c r="N150" i="28"/>
  <c r="P150" i="28"/>
  <c r="K151" i="28"/>
  <c r="I148" i="27"/>
  <c r="J148" i="27" s="1"/>
  <c r="P148" i="27"/>
  <c r="H149" i="27"/>
  <c r="N148" i="27"/>
  <c r="K149" i="27"/>
  <c r="L148" i="27"/>
  <c r="M148" i="27"/>
  <c r="J148" i="26"/>
  <c r="N148" i="26"/>
  <c r="K149" i="26"/>
  <c r="L148" i="26"/>
  <c r="H149" i="26"/>
  <c r="P149" i="26" s="1"/>
  <c r="M148" i="26"/>
  <c r="I145" i="18"/>
  <c r="K144" i="18"/>
  <c r="N144" i="18"/>
  <c r="L144" i="18"/>
  <c r="J144" i="18"/>
  <c r="H145" i="18"/>
  <c r="H152" i="28" l="1"/>
  <c r="M151" i="28"/>
  <c r="K152" i="28"/>
  <c r="L151" i="28"/>
  <c r="P151" i="28"/>
  <c r="N151" i="28"/>
  <c r="I149" i="27"/>
  <c r="J149" i="27" s="1"/>
  <c r="H150" i="27"/>
  <c r="K150" i="27"/>
  <c r="P149" i="27"/>
  <c r="L149" i="27"/>
  <c r="N149" i="27"/>
  <c r="M149" i="27"/>
  <c r="J149" i="26"/>
  <c r="H150" i="26"/>
  <c r="P150" i="26" s="1"/>
  <c r="L149" i="26"/>
  <c r="N149" i="26"/>
  <c r="M149" i="26"/>
  <c r="K150" i="26"/>
  <c r="I146" i="18"/>
  <c r="K145" i="18"/>
  <c r="N145" i="18"/>
  <c r="J145" i="18"/>
  <c r="L145" i="18"/>
  <c r="H146" i="18"/>
  <c r="H153" i="28" l="1"/>
  <c r="M152" i="28"/>
  <c r="N152" i="28"/>
  <c r="L152" i="28"/>
  <c r="P152" i="28"/>
  <c r="K153" i="28"/>
  <c r="I150" i="27"/>
  <c r="J150" i="27" s="1"/>
  <c r="K151" i="27"/>
  <c r="H151" i="27"/>
  <c r="M150" i="27"/>
  <c r="N150" i="27"/>
  <c r="L150" i="27"/>
  <c r="P150" i="27"/>
  <c r="J150" i="26"/>
  <c r="M150" i="26"/>
  <c r="N150" i="26"/>
  <c r="H151" i="26"/>
  <c r="P151" i="26" s="1"/>
  <c r="L150" i="26"/>
  <c r="K151" i="26"/>
  <c r="K146" i="18"/>
  <c r="I147" i="18"/>
  <c r="N146" i="18"/>
  <c r="L146" i="18"/>
  <c r="J146" i="18"/>
  <c r="H147" i="18"/>
  <c r="H154" i="28" l="1"/>
  <c r="M153" i="28"/>
  <c r="K154" i="28"/>
  <c r="L153" i="28"/>
  <c r="N153" i="28"/>
  <c r="P153" i="28"/>
  <c r="I151" i="27"/>
  <c r="J151" i="27" s="1"/>
  <c r="K152" i="27"/>
  <c r="L151" i="27"/>
  <c r="M151" i="27"/>
  <c r="N151" i="27"/>
  <c r="P151" i="27"/>
  <c r="H152" i="27"/>
  <c r="J151" i="26"/>
  <c r="L151" i="26"/>
  <c r="H152" i="26"/>
  <c r="P152" i="26" s="1"/>
  <c r="N151" i="26"/>
  <c r="K152" i="26"/>
  <c r="M151" i="26"/>
  <c r="I148" i="18"/>
  <c r="K147" i="18"/>
  <c r="J147" i="18"/>
  <c r="L147" i="18"/>
  <c r="N147" i="18"/>
  <c r="H148" i="18"/>
  <c r="H155" i="28" l="1"/>
  <c r="M154" i="28"/>
  <c r="N154" i="28"/>
  <c r="L154" i="28"/>
  <c r="P154" i="28"/>
  <c r="K155" i="28"/>
  <c r="I152" i="27"/>
  <c r="J152" i="27" s="1"/>
  <c r="L152" i="27"/>
  <c r="M152" i="27"/>
  <c r="K153" i="27"/>
  <c r="P152" i="27"/>
  <c r="H153" i="27"/>
  <c r="N152" i="27"/>
  <c r="J152" i="26"/>
  <c r="N152" i="26"/>
  <c r="K153" i="26"/>
  <c r="L152" i="26"/>
  <c r="M152" i="26"/>
  <c r="H153" i="26"/>
  <c r="P153" i="26" s="1"/>
  <c r="I149" i="18"/>
  <c r="K148" i="18"/>
  <c r="J148" i="18"/>
  <c r="L148" i="18"/>
  <c r="N148" i="18"/>
  <c r="H149" i="18"/>
  <c r="H156" i="28" l="1"/>
  <c r="M155" i="28"/>
  <c r="K156" i="28"/>
  <c r="L155" i="28"/>
  <c r="N155" i="28"/>
  <c r="P155" i="28"/>
  <c r="I153" i="27"/>
  <c r="J153" i="27" s="1"/>
  <c r="L153" i="27"/>
  <c r="M153" i="27"/>
  <c r="N153" i="27"/>
  <c r="P153" i="27"/>
  <c r="K154" i="27"/>
  <c r="H154" i="27"/>
  <c r="J153" i="26"/>
  <c r="H154" i="26"/>
  <c r="P154" i="26" s="1"/>
  <c r="L153" i="26"/>
  <c r="N153" i="26"/>
  <c r="M153" i="26"/>
  <c r="K154" i="26"/>
  <c r="I150" i="18"/>
  <c r="K149" i="18"/>
  <c r="L149" i="18"/>
  <c r="N149" i="18"/>
  <c r="J149" i="18"/>
  <c r="H150" i="18"/>
  <c r="H157" i="28" l="1"/>
  <c r="M156" i="28"/>
  <c r="N156" i="28"/>
  <c r="L156" i="28"/>
  <c r="P156" i="28"/>
  <c r="K157" i="28"/>
  <c r="I154" i="27"/>
  <c r="J154" i="27" s="1"/>
  <c r="M154" i="27"/>
  <c r="N154" i="27"/>
  <c r="P154" i="27"/>
  <c r="L154" i="27"/>
  <c r="K155" i="27"/>
  <c r="H155" i="27"/>
  <c r="J154" i="26"/>
  <c r="M154" i="26"/>
  <c r="N154" i="26"/>
  <c r="H155" i="26"/>
  <c r="P155" i="26" s="1"/>
  <c r="L154" i="26"/>
  <c r="K155" i="26"/>
  <c r="I151" i="18"/>
  <c r="K150" i="18"/>
  <c r="J150" i="18"/>
  <c r="N150" i="18"/>
  <c r="L150" i="18"/>
  <c r="H151" i="18"/>
  <c r="H158" i="28" l="1"/>
  <c r="M157" i="28"/>
  <c r="K158" i="28"/>
  <c r="L157" i="28"/>
  <c r="N157" i="28"/>
  <c r="P157" i="28"/>
  <c r="I155" i="27"/>
  <c r="J155" i="27" s="1"/>
  <c r="N155" i="27"/>
  <c r="P155" i="27"/>
  <c r="H156" i="27"/>
  <c r="M155" i="27"/>
  <c r="K156" i="27"/>
  <c r="L155" i="27"/>
  <c r="J155" i="26"/>
  <c r="L155" i="26"/>
  <c r="H156" i="26"/>
  <c r="P156" i="26" s="1"/>
  <c r="K156" i="26"/>
  <c r="M155" i="26"/>
  <c r="N155" i="26"/>
  <c r="K151" i="18"/>
  <c r="I152" i="18"/>
  <c r="N151" i="18"/>
  <c r="J151" i="18"/>
  <c r="L151" i="18"/>
  <c r="H152" i="18"/>
  <c r="H159" i="28" l="1"/>
  <c r="M158" i="28"/>
  <c r="L158" i="28"/>
  <c r="N158" i="28"/>
  <c r="P158" i="28"/>
  <c r="K159" i="28"/>
  <c r="I156" i="27"/>
  <c r="J156" i="27" s="1"/>
  <c r="P156" i="27"/>
  <c r="H157" i="27"/>
  <c r="N156" i="27"/>
  <c r="M156" i="27"/>
  <c r="L156" i="27"/>
  <c r="K157" i="27"/>
  <c r="J156" i="26"/>
  <c r="N156" i="26"/>
  <c r="K157" i="26"/>
  <c r="L156" i="26"/>
  <c r="H157" i="26"/>
  <c r="P157" i="26" s="1"/>
  <c r="M156" i="26"/>
  <c r="I153" i="18"/>
  <c r="K152" i="18"/>
  <c r="N152" i="18"/>
  <c r="J152" i="18"/>
  <c r="L152" i="18"/>
  <c r="H153" i="18"/>
  <c r="H160" i="28" l="1"/>
  <c r="M159" i="28"/>
  <c r="K160" i="28"/>
  <c r="L159" i="28"/>
  <c r="P159" i="28"/>
  <c r="N159" i="28"/>
  <c r="I157" i="27"/>
  <c r="J157" i="27" s="1"/>
  <c r="H158" i="27"/>
  <c r="K158" i="27"/>
  <c r="P157" i="27"/>
  <c r="L157" i="27"/>
  <c r="M157" i="27"/>
  <c r="N157" i="27"/>
  <c r="J157" i="26"/>
  <c r="H158" i="26"/>
  <c r="P158" i="26" s="1"/>
  <c r="L157" i="26"/>
  <c r="N157" i="26"/>
  <c r="M157" i="26"/>
  <c r="K158" i="26"/>
  <c r="I154" i="18"/>
  <c r="K153" i="18"/>
  <c r="L153" i="18"/>
  <c r="N153" i="18"/>
  <c r="J153" i="18"/>
  <c r="H154" i="18"/>
  <c r="H161" i="28" l="1"/>
  <c r="M160" i="28"/>
  <c r="N160" i="28"/>
  <c r="L160" i="28"/>
  <c r="P160" i="28"/>
  <c r="K161" i="28"/>
  <c r="I158" i="27"/>
  <c r="J158" i="27" s="1"/>
  <c r="K159" i="27"/>
  <c r="H159" i="27"/>
  <c r="L158" i="27"/>
  <c r="M158" i="27"/>
  <c r="N158" i="27"/>
  <c r="P158" i="27"/>
  <c r="J158" i="26"/>
  <c r="M158" i="26"/>
  <c r="N158" i="26"/>
  <c r="H159" i="26"/>
  <c r="P159" i="26" s="1"/>
  <c r="L158" i="26"/>
  <c r="K159" i="26"/>
  <c r="I155" i="18"/>
  <c r="K154" i="18"/>
  <c r="N154" i="18"/>
  <c r="L154" i="18"/>
  <c r="J154" i="18"/>
  <c r="H155" i="18"/>
  <c r="H162" i="28" l="1"/>
  <c r="M161" i="28"/>
  <c r="K162" i="28"/>
  <c r="L161" i="28"/>
  <c r="N161" i="28"/>
  <c r="P161" i="28"/>
  <c r="I159" i="27"/>
  <c r="J159" i="27" s="1"/>
  <c r="K160" i="27"/>
  <c r="L159" i="27"/>
  <c r="N159" i="27"/>
  <c r="P159" i="27"/>
  <c r="M159" i="27"/>
  <c r="H160" i="27"/>
  <c r="J159" i="26"/>
  <c r="L159" i="26"/>
  <c r="H160" i="26"/>
  <c r="P160" i="26" s="1"/>
  <c r="N159" i="26"/>
  <c r="K160" i="26"/>
  <c r="M159" i="26"/>
  <c r="K155" i="18"/>
  <c r="I156" i="18"/>
  <c r="J155" i="18"/>
  <c r="N155" i="18"/>
  <c r="L155" i="18"/>
  <c r="H156" i="18"/>
  <c r="H163" i="28" l="1"/>
  <c r="M162" i="28"/>
  <c r="N162" i="28"/>
  <c r="L162" i="28"/>
  <c r="P162" i="28"/>
  <c r="K163" i="28"/>
  <c r="I160" i="27"/>
  <c r="J160" i="27" s="1"/>
  <c r="L160" i="27"/>
  <c r="M160" i="27"/>
  <c r="K161" i="27"/>
  <c r="N160" i="27"/>
  <c r="P160" i="27"/>
  <c r="H161" i="27"/>
  <c r="J160" i="26"/>
  <c r="N160" i="26"/>
  <c r="K161" i="26"/>
  <c r="L160" i="26"/>
  <c r="M160" i="26"/>
  <c r="H161" i="26"/>
  <c r="P161" i="26" s="1"/>
  <c r="I157" i="18"/>
  <c r="K156" i="18"/>
  <c r="J156" i="18"/>
  <c r="L156" i="18"/>
  <c r="N156" i="18"/>
  <c r="H157" i="18"/>
  <c r="H164" i="28" l="1"/>
  <c r="M163" i="28"/>
  <c r="K164" i="28"/>
  <c r="L163" i="28"/>
  <c r="P163" i="28"/>
  <c r="N163" i="28"/>
  <c r="I161" i="27"/>
  <c r="J161" i="27" s="1"/>
  <c r="L161" i="27"/>
  <c r="M161" i="27"/>
  <c r="N161" i="27"/>
  <c r="H162" i="27"/>
  <c r="P161" i="27"/>
  <c r="K162" i="27"/>
  <c r="J161" i="26"/>
  <c r="H162" i="26"/>
  <c r="P162" i="26" s="1"/>
  <c r="L161" i="26"/>
  <c r="N161" i="26"/>
  <c r="M161" i="26"/>
  <c r="K162" i="26"/>
  <c r="I158" i="18"/>
  <c r="K157" i="18"/>
  <c r="L157" i="18"/>
  <c r="J157" i="18"/>
  <c r="N157" i="18"/>
  <c r="H158" i="18"/>
  <c r="H165" i="28" l="1"/>
  <c r="M164" i="28"/>
  <c r="N164" i="28"/>
  <c r="L164" i="28"/>
  <c r="P164" i="28"/>
  <c r="K165" i="28"/>
  <c r="I162" i="27"/>
  <c r="J162" i="27" s="1"/>
  <c r="M162" i="27"/>
  <c r="N162" i="27"/>
  <c r="P162" i="27"/>
  <c r="L162" i="27"/>
  <c r="H163" i="27"/>
  <c r="K163" i="27"/>
  <c r="J162" i="26"/>
  <c r="M162" i="26"/>
  <c r="N162" i="26"/>
  <c r="H163" i="26"/>
  <c r="P163" i="26" s="1"/>
  <c r="L162" i="26"/>
  <c r="K163" i="26"/>
  <c r="I159" i="18"/>
  <c r="K158" i="18"/>
  <c r="J158" i="18"/>
  <c r="N158" i="18"/>
  <c r="L158" i="18"/>
  <c r="H159" i="18"/>
  <c r="H166" i="28" l="1"/>
  <c r="M165" i="28"/>
  <c r="K166" i="28"/>
  <c r="L165" i="28"/>
  <c r="N165" i="28"/>
  <c r="P165" i="28"/>
  <c r="I163" i="27"/>
  <c r="J163" i="27" s="1"/>
  <c r="N163" i="27"/>
  <c r="P163" i="27"/>
  <c r="H164" i="27"/>
  <c r="M163" i="27"/>
  <c r="L163" i="27"/>
  <c r="K164" i="27"/>
  <c r="J163" i="26"/>
  <c r="L163" i="26"/>
  <c r="H164" i="26"/>
  <c r="P164" i="26" s="1"/>
  <c r="K164" i="26"/>
  <c r="M163" i="26"/>
  <c r="N163" i="26"/>
  <c r="K159" i="18"/>
  <c r="I160" i="18"/>
  <c r="N159" i="18"/>
  <c r="J159" i="18"/>
  <c r="L159" i="18"/>
  <c r="H160" i="18"/>
  <c r="H167" i="28" l="1"/>
  <c r="M166" i="28"/>
  <c r="L166" i="28"/>
  <c r="N166" i="28"/>
  <c r="P166" i="28"/>
  <c r="K167" i="28"/>
  <c r="I164" i="27"/>
  <c r="J164" i="27" s="1"/>
  <c r="P164" i="27"/>
  <c r="H165" i="27"/>
  <c r="N164" i="27"/>
  <c r="K165" i="27"/>
  <c r="L164" i="27"/>
  <c r="M164" i="27"/>
  <c r="J164" i="26"/>
  <c r="N164" i="26"/>
  <c r="K165" i="26"/>
  <c r="L164" i="26"/>
  <c r="H165" i="26"/>
  <c r="P165" i="26" s="1"/>
  <c r="M164" i="26"/>
  <c r="I161" i="18"/>
  <c r="K160" i="18"/>
  <c r="N160" i="18"/>
  <c r="J160" i="18"/>
  <c r="L160" i="18"/>
  <c r="H161" i="18"/>
  <c r="H168" i="28" l="1"/>
  <c r="M167" i="28"/>
  <c r="K168" i="28"/>
  <c r="L167" i="28"/>
  <c r="P167" i="28"/>
  <c r="N167" i="28"/>
  <c r="I165" i="27"/>
  <c r="J165" i="27" s="1"/>
  <c r="H166" i="27"/>
  <c r="K166" i="27"/>
  <c r="P165" i="27"/>
  <c r="L165" i="27"/>
  <c r="M165" i="27"/>
  <c r="N165" i="27"/>
  <c r="J165" i="26"/>
  <c r="H166" i="26"/>
  <c r="P166" i="26" s="1"/>
  <c r="L165" i="26"/>
  <c r="N165" i="26"/>
  <c r="M165" i="26"/>
  <c r="K166" i="26"/>
  <c r="I162" i="18"/>
  <c r="K161" i="18"/>
  <c r="J161" i="18"/>
  <c r="L161" i="18"/>
  <c r="N161" i="18"/>
  <c r="H162" i="18"/>
  <c r="H169" i="28" l="1"/>
  <c r="M168" i="28"/>
  <c r="L168" i="28"/>
  <c r="N168" i="28"/>
  <c r="P168" i="28"/>
  <c r="K169" i="28"/>
  <c r="I166" i="27"/>
  <c r="J166" i="27" s="1"/>
  <c r="K167" i="27"/>
  <c r="H167" i="27"/>
  <c r="M166" i="27"/>
  <c r="N166" i="27"/>
  <c r="L166" i="27"/>
  <c r="P166" i="27"/>
  <c r="J166" i="26"/>
  <c r="M166" i="26"/>
  <c r="N166" i="26"/>
  <c r="H167" i="26"/>
  <c r="P167" i="26" s="1"/>
  <c r="K167" i="26"/>
  <c r="L166" i="26"/>
  <c r="K162" i="18"/>
  <c r="I163" i="18"/>
  <c r="J162" i="18"/>
  <c r="N162" i="18"/>
  <c r="L162" i="18"/>
  <c r="H163" i="18"/>
  <c r="H170" i="28" l="1"/>
  <c r="M169" i="28"/>
  <c r="K170" i="28"/>
  <c r="L169" i="28"/>
  <c r="N169" i="28"/>
  <c r="P169" i="28"/>
  <c r="I167" i="27"/>
  <c r="J167" i="27" s="1"/>
  <c r="K168" i="27"/>
  <c r="L167" i="27"/>
  <c r="M167" i="27"/>
  <c r="H168" i="27"/>
  <c r="N167" i="27"/>
  <c r="P167" i="27"/>
  <c r="J167" i="26"/>
  <c r="L167" i="26"/>
  <c r="H168" i="26"/>
  <c r="P168" i="26" s="1"/>
  <c r="N167" i="26"/>
  <c r="K168" i="26"/>
  <c r="M167" i="26"/>
  <c r="I164" i="18"/>
  <c r="K163" i="18"/>
  <c r="J163" i="18"/>
  <c r="L163" i="18"/>
  <c r="N163" i="18"/>
  <c r="H164" i="18"/>
  <c r="H171" i="28" l="1"/>
  <c r="M170" i="28"/>
  <c r="N170" i="28"/>
  <c r="L170" i="28"/>
  <c r="P170" i="28"/>
  <c r="K171" i="28"/>
  <c r="I168" i="27"/>
  <c r="J168" i="27" s="1"/>
  <c r="L168" i="27"/>
  <c r="M168" i="27"/>
  <c r="K169" i="27"/>
  <c r="P168" i="27"/>
  <c r="H169" i="27"/>
  <c r="N168" i="27"/>
  <c r="J168" i="26"/>
  <c r="N168" i="26"/>
  <c r="K169" i="26"/>
  <c r="L168" i="26"/>
  <c r="M168" i="26"/>
  <c r="H169" i="26"/>
  <c r="P169" i="26" s="1"/>
  <c r="I165" i="18"/>
  <c r="K164" i="18"/>
  <c r="J164" i="18"/>
  <c r="L164" i="18"/>
  <c r="N164" i="18"/>
  <c r="H165" i="18"/>
  <c r="H172" i="28" l="1"/>
  <c r="M171" i="28"/>
  <c r="K172" i="28"/>
  <c r="L171" i="28"/>
  <c r="P171" i="28"/>
  <c r="N171" i="28"/>
  <c r="I169" i="27"/>
  <c r="J169" i="27" s="1"/>
  <c r="L169" i="27"/>
  <c r="M169" i="27"/>
  <c r="N169" i="27"/>
  <c r="P169" i="27"/>
  <c r="H170" i="27"/>
  <c r="K170" i="27"/>
  <c r="J169" i="26"/>
  <c r="H170" i="26"/>
  <c r="P170" i="26" s="1"/>
  <c r="L169" i="26"/>
  <c r="N169" i="26"/>
  <c r="M169" i="26"/>
  <c r="K170" i="26"/>
  <c r="I166" i="18"/>
  <c r="K165" i="18"/>
  <c r="L165" i="18"/>
  <c r="N165" i="18"/>
  <c r="J165" i="18"/>
  <c r="H166" i="18"/>
  <c r="H173" i="28" l="1"/>
  <c r="M172" i="28"/>
  <c r="L172" i="28"/>
  <c r="N172" i="28"/>
  <c r="P172" i="28"/>
  <c r="K173" i="28"/>
  <c r="I170" i="27"/>
  <c r="J170" i="27" s="1"/>
  <c r="M170" i="27"/>
  <c r="N170" i="27"/>
  <c r="P170" i="27"/>
  <c r="L170" i="27"/>
  <c r="K171" i="27"/>
  <c r="H171" i="27"/>
  <c r="J170" i="26"/>
  <c r="M170" i="26"/>
  <c r="N170" i="26"/>
  <c r="H171" i="26"/>
  <c r="P171" i="26" s="1"/>
  <c r="L170" i="26"/>
  <c r="K171" i="26"/>
  <c r="I167" i="18"/>
  <c r="K166" i="18"/>
  <c r="N166" i="18"/>
  <c r="J166" i="18"/>
  <c r="L166" i="18"/>
  <c r="H167" i="18"/>
  <c r="H174" i="28" l="1"/>
  <c r="M173" i="28"/>
  <c r="K174" i="28"/>
  <c r="L173" i="28"/>
  <c r="N173" i="28"/>
  <c r="P173" i="28"/>
  <c r="I171" i="27"/>
  <c r="J171" i="27" s="1"/>
  <c r="N171" i="27"/>
  <c r="P171" i="27"/>
  <c r="H172" i="27"/>
  <c r="M171" i="27"/>
  <c r="K172" i="27"/>
  <c r="L171" i="27"/>
  <c r="J171" i="26"/>
  <c r="L171" i="26"/>
  <c r="H172" i="26"/>
  <c r="P172" i="26" s="1"/>
  <c r="K172" i="26"/>
  <c r="M171" i="26"/>
  <c r="N171" i="26"/>
  <c r="K167" i="18"/>
  <c r="I168" i="18"/>
  <c r="N167" i="18"/>
  <c r="J167" i="18"/>
  <c r="L167" i="18"/>
  <c r="H168" i="18"/>
  <c r="H175" i="28" l="1"/>
  <c r="M174" i="28"/>
  <c r="N174" i="28"/>
  <c r="L174" i="28"/>
  <c r="P174" i="28"/>
  <c r="K175" i="28"/>
  <c r="I172" i="27"/>
  <c r="J172" i="27" s="1"/>
  <c r="P172" i="27"/>
  <c r="H173" i="27"/>
  <c r="N172" i="27"/>
  <c r="L172" i="27"/>
  <c r="M172" i="27"/>
  <c r="K173" i="27"/>
  <c r="J172" i="26"/>
  <c r="N172" i="26"/>
  <c r="K173" i="26"/>
  <c r="L172" i="26"/>
  <c r="H173" i="26"/>
  <c r="P173" i="26" s="1"/>
  <c r="M172" i="26"/>
  <c r="I169" i="18"/>
  <c r="K168" i="18"/>
  <c r="N168" i="18"/>
  <c r="L168" i="18"/>
  <c r="J168" i="18"/>
  <c r="H169" i="18"/>
  <c r="H176" i="28" l="1"/>
  <c r="M175" i="28"/>
  <c r="K176" i="28"/>
  <c r="L175" i="28"/>
  <c r="P175" i="28"/>
  <c r="N175" i="28"/>
  <c r="I173" i="27"/>
  <c r="J173" i="27" s="1"/>
  <c r="H174" i="27"/>
  <c r="K174" i="27"/>
  <c r="P173" i="27"/>
  <c r="L173" i="27"/>
  <c r="M173" i="27"/>
  <c r="N173" i="27"/>
  <c r="J173" i="26"/>
  <c r="H174" i="26"/>
  <c r="P174" i="26" s="1"/>
  <c r="L173" i="26"/>
  <c r="N173" i="26"/>
  <c r="M173" i="26"/>
  <c r="K174" i="26"/>
  <c r="K169" i="18"/>
  <c r="I170" i="18"/>
  <c r="J169" i="18"/>
  <c r="L169" i="18"/>
  <c r="N169" i="18"/>
  <c r="H170" i="18"/>
  <c r="H177" i="28" l="1"/>
  <c r="M176" i="28"/>
  <c r="L176" i="28"/>
  <c r="N176" i="28"/>
  <c r="P176" i="28"/>
  <c r="K177" i="28"/>
  <c r="I174" i="27"/>
  <c r="J174" i="27" s="1"/>
  <c r="K175" i="27"/>
  <c r="H175" i="27"/>
  <c r="L174" i="27"/>
  <c r="P174" i="27"/>
  <c r="M174" i="27"/>
  <c r="N174" i="27"/>
  <c r="J174" i="26"/>
  <c r="M174" i="26"/>
  <c r="N174" i="26"/>
  <c r="H175" i="26"/>
  <c r="P175" i="26" s="1"/>
  <c r="K175" i="26"/>
  <c r="L174" i="26"/>
  <c r="K170" i="18"/>
  <c r="I171" i="18"/>
  <c r="N170" i="18"/>
  <c r="J170" i="18"/>
  <c r="L170" i="18"/>
  <c r="H171" i="18"/>
  <c r="H178" i="28" l="1"/>
  <c r="M177" i="28"/>
  <c r="K178" i="28"/>
  <c r="L177" i="28"/>
  <c r="N177" i="28"/>
  <c r="P177" i="28"/>
  <c r="I175" i="27"/>
  <c r="J175" i="27" s="1"/>
  <c r="K176" i="27"/>
  <c r="L175" i="27"/>
  <c r="N175" i="27"/>
  <c r="P175" i="27"/>
  <c r="M175" i="27"/>
  <c r="H176" i="27"/>
  <c r="J175" i="26"/>
  <c r="L175" i="26"/>
  <c r="H176" i="26"/>
  <c r="P176" i="26" s="1"/>
  <c r="N175" i="26"/>
  <c r="K176" i="26"/>
  <c r="M175" i="26"/>
  <c r="K171" i="18"/>
  <c r="I172" i="18"/>
  <c r="J171" i="18"/>
  <c r="L171" i="18"/>
  <c r="N171" i="18"/>
  <c r="H172" i="18"/>
  <c r="H179" i="28" l="1"/>
  <c r="M178" i="28"/>
  <c r="L178" i="28"/>
  <c r="N178" i="28"/>
  <c r="P178" i="28"/>
  <c r="K179" i="28"/>
  <c r="I176" i="27"/>
  <c r="J176" i="27" s="1"/>
  <c r="L176" i="27"/>
  <c r="M176" i="27"/>
  <c r="K177" i="27"/>
  <c r="N176" i="27"/>
  <c r="P176" i="27"/>
  <c r="H177" i="27"/>
  <c r="J176" i="26"/>
  <c r="N176" i="26"/>
  <c r="K177" i="26"/>
  <c r="L176" i="26"/>
  <c r="M176" i="26"/>
  <c r="H177" i="26"/>
  <c r="P177" i="26" s="1"/>
  <c r="I173" i="18"/>
  <c r="K172" i="18"/>
  <c r="J172" i="18"/>
  <c r="L172" i="18"/>
  <c r="N172" i="18"/>
  <c r="H173" i="18"/>
  <c r="H180" i="28" l="1"/>
  <c r="M179" i="28"/>
  <c r="K180" i="28"/>
  <c r="L179" i="28"/>
  <c r="P179" i="28"/>
  <c r="N179" i="28"/>
  <c r="I177" i="27"/>
  <c r="J177" i="27" s="1"/>
  <c r="L177" i="27"/>
  <c r="M177" i="27"/>
  <c r="N177" i="27"/>
  <c r="H178" i="27"/>
  <c r="P177" i="27"/>
  <c r="K178" i="27"/>
  <c r="J177" i="26"/>
  <c r="H178" i="26"/>
  <c r="P178" i="26" s="1"/>
  <c r="L177" i="26"/>
  <c r="N177" i="26"/>
  <c r="M177" i="26"/>
  <c r="K178" i="26"/>
  <c r="I174" i="18"/>
  <c r="K173" i="18"/>
  <c r="L173" i="18"/>
  <c r="J173" i="18"/>
  <c r="N173" i="18"/>
  <c r="H174" i="18"/>
  <c r="H181" i="28" l="1"/>
  <c r="M180" i="28"/>
  <c r="L180" i="28"/>
  <c r="N180" i="28"/>
  <c r="P180" i="28"/>
  <c r="K181" i="28"/>
  <c r="I178" i="27"/>
  <c r="J178" i="27" s="1"/>
  <c r="M178" i="27"/>
  <c r="N178" i="27"/>
  <c r="P178" i="27"/>
  <c r="L178" i="27"/>
  <c r="H179" i="27"/>
  <c r="K179" i="27"/>
  <c r="J178" i="26"/>
  <c r="M178" i="26"/>
  <c r="N178" i="26"/>
  <c r="H179" i="26"/>
  <c r="P179" i="26" s="1"/>
  <c r="L178" i="26"/>
  <c r="K179" i="26"/>
  <c r="I175" i="18"/>
  <c r="K174" i="18"/>
  <c r="J174" i="18"/>
  <c r="N174" i="18"/>
  <c r="L174" i="18"/>
  <c r="H175" i="18"/>
  <c r="H182" i="28" l="1"/>
  <c r="M181" i="28"/>
  <c r="K182" i="28"/>
  <c r="L181" i="28"/>
  <c r="N181" i="28"/>
  <c r="P181" i="28"/>
  <c r="I179" i="27"/>
  <c r="J179" i="27" s="1"/>
  <c r="N179" i="27"/>
  <c r="P179" i="27"/>
  <c r="H180" i="27"/>
  <c r="M179" i="27"/>
  <c r="L179" i="27"/>
  <c r="K180" i="27"/>
  <c r="J179" i="26"/>
  <c r="L179" i="26"/>
  <c r="H180" i="26"/>
  <c r="P180" i="26" s="1"/>
  <c r="K180" i="26"/>
  <c r="M179" i="26"/>
  <c r="N179" i="26"/>
  <c r="K175" i="18"/>
  <c r="I176" i="18"/>
  <c r="N175" i="18"/>
  <c r="L175" i="18"/>
  <c r="J175" i="18"/>
  <c r="H176" i="18"/>
  <c r="H183" i="28" l="1"/>
  <c r="M182" i="28"/>
  <c r="N182" i="28"/>
  <c r="L182" i="28"/>
  <c r="P182" i="28"/>
  <c r="K183" i="28"/>
  <c r="I180" i="27"/>
  <c r="J180" i="27" s="1"/>
  <c r="P180" i="27"/>
  <c r="H181" i="27"/>
  <c r="N180" i="27"/>
  <c r="K181" i="27"/>
  <c r="L180" i="27"/>
  <c r="M180" i="27"/>
  <c r="J180" i="26"/>
  <c r="N180" i="26"/>
  <c r="K181" i="26"/>
  <c r="L180" i="26"/>
  <c r="H181" i="26"/>
  <c r="P181" i="26" s="1"/>
  <c r="M180" i="26"/>
  <c r="I177" i="18"/>
  <c r="K176" i="18"/>
  <c r="N176" i="18"/>
  <c r="J176" i="18"/>
  <c r="L176" i="18"/>
  <c r="H177" i="18"/>
  <c r="H184" i="28" l="1"/>
  <c r="M183" i="28"/>
  <c r="K184" i="28"/>
  <c r="L183" i="28"/>
  <c r="P183" i="28"/>
  <c r="N183" i="28"/>
  <c r="I181" i="27"/>
  <c r="J181" i="27" s="1"/>
  <c r="H182" i="27"/>
  <c r="K182" i="27"/>
  <c r="P181" i="27"/>
  <c r="N181" i="27"/>
  <c r="L181" i="27"/>
  <c r="M181" i="27"/>
  <c r="J181" i="26"/>
  <c r="H182" i="26"/>
  <c r="P182" i="26" s="1"/>
  <c r="L181" i="26"/>
  <c r="N181" i="26"/>
  <c r="M181" i="26"/>
  <c r="K182" i="26"/>
  <c r="I178" i="18"/>
  <c r="K177" i="18"/>
  <c r="L177" i="18"/>
  <c r="N177" i="18"/>
  <c r="J177" i="18"/>
  <c r="H178" i="18"/>
  <c r="H185" i="28" l="1"/>
  <c r="M184" i="28"/>
  <c r="L184" i="28"/>
  <c r="N184" i="28"/>
  <c r="P184" i="28"/>
  <c r="K185" i="28"/>
  <c r="I182" i="27"/>
  <c r="J182" i="27" s="1"/>
  <c r="K183" i="27"/>
  <c r="H183" i="27"/>
  <c r="M182" i="27"/>
  <c r="N182" i="27"/>
  <c r="L182" i="27"/>
  <c r="P182" i="27"/>
  <c r="J182" i="26"/>
  <c r="M182" i="26"/>
  <c r="N182" i="26"/>
  <c r="H183" i="26"/>
  <c r="P183" i="26" s="1"/>
  <c r="K183" i="26"/>
  <c r="L182" i="26"/>
  <c r="I179" i="18"/>
  <c r="K178" i="18"/>
  <c r="N178" i="18"/>
  <c r="J178" i="18"/>
  <c r="L178" i="18"/>
  <c r="H179" i="18"/>
  <c r="H186" i="28" l="1"/>
  <c r="M185" i="28"/>
  <c r="K186" i="28"/>
  <c r="L185" i="28"/>
  <c r="N185" i="28"/>
  <c r="P185" i="28"/>
  <c r="I183" i="27"/>
  <c r="J183" i="27" s="1"/>
  <c r="K184" i="27"/>
  <c r="L183" i="27"/>
  <c r="M183" i="27"/>
  <c r="N183" i="27"/>
  <c r="H184" i="27"/>
  <c r="P183" i="27"/>
  <c r="J183" i="26"/>
  <c r="L183" i="26"/>
  <c r="H184" i="26"/>
  <c r="P184" i="26" s="1"/>
  <c r="N183" i="26"/>
  <c r="K184" i="26"/>
  <c r="M183" i="26"/>
  <c r="I180" i="18"/>
  <c r="K179" i="18"/>
  <c r="J179" i="18"/>
  <c r="L179" i="18"/>
  <c r="N179" i="18"/>
  <c r="H180" i="18"/>
  <c r="H187" i="28" l="1"/>
  <c r="M186" i="28"/>
  <c r="L186" i="28"/>
  <c r="N186" i="28"/>
  <c r="P186" i="28"/>
  <c r="K187" i="28"/>
  <c r="I184" i="27"/>
  <c r="J184" i="27" s="1"/>
  <c r="L184" i="27"/>
  <c r="M184" i="27"/>
  <c r="K185" i="27"/>
  <c r="P184" i="27"/>
  <c r="H185" i="27"/>
  <c r="N184" i="27"/>
  <c r="J184" i="26"/>
  <c r="N184" i="26"/>
  <c r="K185" i="26"/>
  <c r="L184" i="26"/>
  <c r="M184" i="26"/>
  <c r="H185" i="26"/>
  <c r="P185" i="26" s="1"/>
  <c r="I181" i="18"/>
  <c r="K180" i="18"/>
  <c r="J180" i="18"/>
  <c r="L180" i="18"/>
  <c r="N180" i="18"/>
  <c r="H181" i="18"/>
  <c r="H188" i="28" l="1"/>
  <c r="M187" i="28"/>
  <c r="K188" i="28"/>
  <c r="L187" i="28"/>
  <c r="P187" i="28"/>
  <c r="N187" i="28"/>
  <c r="I185" i="27"/>
  <c r="J185" i="27" s="1"/>
  <c r="L185" i="27"/>
  <c r="M185" i="27"/>
  <c r="N185" i="27"/>
  <c r="P185" i="27"/>
  <c r="H186" i="27"/>
  <c r="K186" i="27"/>
  <c r="J185" i="26"/>
  <c r="H186" i="26"/>
  <c r="P186" i="26" s="1"/>
  <c r="L185" i="26"/>
  <c r="N185" i="26"/>
  <c r="M185" i="26"/>
  <c r="K186" i="26"/>
  <c r="I182" i="18"/>
  <c r="K181" i="18"/>
  <c r="L181" i="18"/>
  <c r="J181" i="18"/>
  <c r="N181" i="18"/>
  <c r="H182" i="18"/>
  <c r="H189" i="28" l="1"/>
  <c r="M188" i="28"/>
  <c r="L188" i="28"/>
  <c r="N188" i="28"/>
  <c r="P188" i="28"/>
  <c r="K189" i="28"/>
  <c r="I186" i="27"/>
  <c r="J186" i="27" s="1"/>
  <c r="M186" i="27"/>
  <c r="N186" i="27"/>
  <c r="P186" i="27"/>
  <c r="L186" i="27"/>
  <c r="K187" i="27"/>
  <c r="H187" i="27"/>
  <c r="J186" i="26"/>
  <c r="M186" i="26"/>
  <c r="N186" i="26"/>
  <c r="H187" i="26"/>
  <c r="P187" i="26" s="1"/>
  <c r="L186" i="26"/>
  <c r="K187" i="26"/>
  <c r="I183" i="18"/>
  <c r="K182" i="18"/>
  <c r="J182" i="18"/>
  <c r="L182" i="18"/>
  <c r="N182" i="18"/>
  <c r="H183" i="18"/>
  <c r="H190" i="28" l="1"/>
  <c r="M189" i="28"/>
  <c r="K190" i="28"/>
  <c r="L189" i="28"/>
  <c r="N189" i="28"/>
  <c r="P189" i="28"/>
  <c r="I187" i="27"/>
  <c r="J187" i="27" s="1"/>
  <c r="N187" i="27"/>
  <c r="P187" i="27"/>
  <c r="H188" i="27"/>
  <c r="M187" i="27"/>
  <c r="K188" i="27"/>
  <c r="L187" i="27"/>
  <c r="J187" i="26"/>
  <c r="L187" i="26"/>
  <c r="H188" i="26"/>
  <c r="P188" i="26" s="1"/>
  <c r="K188" i="26"/>
  <c r="M187" i="26"/>
  <c r="N187" i="26"/>
  <c r="K183" i="18"/>
  <c r="I184" i="18"/>
  <c r="N183" i="18"/>
  <c r="J183" i="18"/>
  <c r="L183" i="18"/>
  <c r="H184" i="18"/>
  <c r="H191" i="28" l="1"/>
  <c r="M190" i="28"/>
  <c r="L190" i="28"/>
  <c r="N190" i="28"/>
  <c r="P190" i="28"/>
  <c r="K191" i="28"/>
  <c r="I188" i="27"/>
  <c r="J188" i="27" s="1"/>
  <c r="P188" i="27"/>
  <c r="H189" i="27"/>
  <c r="N188" i="27"/>
  <c r="M188" i="27"/>
  <c r="L188" i="27"/>
  <c r="K189" i="27"/>
  <c r="J188" i="26"/>
  <c r="N188" i="26"/>
  <c r="K189" i="26"/>
  <c r="L188" i="26"/>
  <c r="H189" i="26"/>
  <c r="P189" i="26" s="1"/>
  <c r="M188" i="26"/>
  <c r="I185" i="18"/>
  <c r="K184" i="18"/>
  <c r="N184" i="18"/>
  <c r="J184" i="18"/>
  <c r="L184" i="18"/>
  <c r="H185" i="18"/>
  <c r="H192" i="28" l="1"/>
  <c r="M191" i="28"/>
  <c r="K192" i="28"/>
  <c r="L191" i="28"/>
  <c r="P191" i="28"/>
  <c r="N191" i="28"/>
  <c r="I189" i="27"/>
  <c r="J189" i="27" s="1"/>
  <c r="H190" i="27"/>
  <c r="K190" i="27"/>
  <c r="P189" i="27"/>
  <c r="L189" i="27"/>
  <c r="M189" i="27"/>
  <c r="N189" i="27"/>
  <c r="J189" i="26"/>
  <c r="H190" i="26"/>
  <c r="P190" i="26" s="1"/>
  <c r="L189" i="26"/>
  <c r="N189" i="26"/>
  <c r="M189" i="26"/>
  <c r="K190" i="26"/>
  <c r="K185" i="18"/>
  <c r="I186" i="18"/>
  <c r="L185" i="18"/>
  <c r="N185" i="18"/>
  <c r="J185" i="18"/>
  <c r="H186" i="18"/>
  <c r="H193" i="28" l="1"/>
  <c r="M192" i="28"/>
  <c r="L192" i="28"/>
  <c r="N192" i="28"/>
  <c r="P192" i="28"/>
  <c r="K193" i="28"/>
  <c r="I190" i="27"/>
  <c r="J190" i="27" s="1"/>
  <c r="K191" i="27"/>
  <c r="H191" i="27"/>
  <c r="L190" i="27"/>
  <c r="M190" i="27"/>
  <c r="P190" i="27"/>
  <c r="N190" i="27"/>
  <c r="J190" i="26"/>
  <c r="M190" i="26"/>
  <c r="N190" i="26"/>
  <c r="H191" i="26"/>
  <c r="P191" i="26" s="1"/>
  <c r="K191" i="26"/>
  <c r="L190" i="26"/>
  <c r="K186" i="18"/>
  <c r="I187" i="18"/>
  <c r="N186" i="18"/>
  <c r="J186" i="18"/>
  <c r="L186" i="18"/>
  <c r="H187" i="18"/>
  <c r="H194" i="28" l="1"/>
  <c r="M193" i="28"/>
  <c r="K194" i="28"/>
  <c r="L193" i="28"/>
  <c r="N193" i="28"/>
  <c r="P193" i="28"/>
  <c r="I191" i="27"/>
  <c r="J191" i="27" s="1"/>
  <c r="K192" i="27"/>
  <c r="L191" i="27"/>
  <c r="N191" i="27"/>
  <c r="P191" i="27"/>
  <c r="M191" i="27"/>
  <c r="H192" i="27"/>
  <c r="J191" i="26"/>
  <c r="L191" i="26"/>
  <c r="H192" i="26"/>
  <c r="P192" i="26" s="1"/>
  <c r="N191" i="26"/>
  <c r="K192" i="26"/>
  <c r="M191" i="26"/>
  <c r="K187" i="18"/>
  <c r="I188" i="18"/>
  <c r="J187" i="18"/>
  <c r="N187" i="18"/>
  <c r="L187" i="18"/>
  <c r="H188" i="18"/>
  <c r="H195" i="28" l="1"/>
  <c r="M194" i="28"/>
  <c r="L194" i="28"/>
  <c r="N194" i="28"/>
  <c r="P194" i="28"/>
  <c r="K195" i="28"/>
  <c r="I192" i="27"/>
  <c r="J192" i="27" s="1"/>
  <c r="L192" i="27"/>
  <c r="M192" i="27"/>
  <c r="K193" i="27"/>
  <c r="N192" i="27"/>
  <c r="P192" i="27"/>
  <c r="H193" i="27"/>
  <c r="J192" i="26"/>
  <c r="N192" i="26"/>
  <c r="K193" i="26"/>
  <c r="L192" i="26"/>
  <c r="M192" i="26"/>
  <c r="H193" i="26"/>
  <c r="P193" i="26" s="1"/>
  <c r="I189" i="18"/>
  <c r="K188" i="18"/>
  <c r="J188" i="18"/>
  <c r="L188" i="18"/>
  <c r="N188" i="18"/>
  <c r="H189" i="18"/>
  <c r="H196" i="28" l="1"/>
  <c r="M195" i="28"/>
  <c r="K196" i="28"/>
  <c r="L195" i="28"/>
  <c r="P195" i="28"/>
  <c r="N195" i="28"/>
  <c r="I193" i="27"/>
  <c r="J193" i="27" s="1"/>
  <c r="L193" i="27"/>
  <c r="M193" i="27"/>
  <c r="N193" i="27"/>
  <c r="H194" i="27"/>
  <c r="P193" i="27"/>
  <c r="K194" i="27"/>
  <c r="J193" i="26"/>
  <c r="H194" i="26"/>
  <c r="P194" i="26" s="1"/>
  <c r="L193" i="26"/>
  <c r="N193" i="26"/>
  <c r="M193" i="26"/>
  <c r="K194" i="26"/>
  <c r="I190" i="18"/>
  <c r="K189" i="18"/>
  <c r="L189" i="18"/>
  <c r="J189" i="18"/>
  <c r="N189" i="18"/>
  <c r="H190" i="18"/>
  <c r="H197" i="28" l="1"/>
  <c r="M196" i="28"/>
  <c r="L196" i="28"/>
  <c r="N196" i="28"/>
  <c r="P196" i="28"/>
  <c r="K197" i="28"/>
  <c r="I194" i="27"/>
  <c r="J194" i="27" s="1"/>
  <c r="M194" i="27"/>
  <c r="N194" i="27"/>
  <c r="P194" i="27"/>
  <c r="L194" i="27"/>
  <c r="H195" i="27"/>
  <c r="K195" i="27"/>
  <c r="J194" i="26"/>
  <c r="M194" i="26"/>
  <c r="N194" i="26"/>
  <c r="H195" i="26"/>
  <c r="P195" i="26" s="1"/>
  <c r="L194" i="26"/>
  <c r="K195" i="26"/>
  <c r="I191" i="18"/>
  <c r="K190" i="18"/>
  <c r="J190" i="18"/>
  <c r="L190" i="18"/>
  <c r="N190" i="18"/>
  <c r="H191" i="18"/>
  <c r="H198" i="28" l="1"/>
  <c r="M197" i="28"/>
  <c r="K198" i="28"/>
  <c r="L197" i="28"/>
  <c r="N197" i="28"/>
  <c r="P197" i="28"/>
  <c r="I195" i="27"/>
  <c r="J195" i="27" s="1"/>
  <c r="N195" i="27"/>
  <c r="P195" i="27"/>
  <c r="H196" i="27"/>
  <c r="M195" i="27"/>
  <c r="L195" i="27"/>
  <c r="K196" i="27"/>
  <c r="J195" i="26"/>
  <c r="L195" i="26"/>
  <c r="H196" i="26"/>
  <c r="P196" i="26" s="1"/>
  <c r="K196" i="26"/>
  <c r="M195" i="26"/>
  <c r="N195" i="26"/>
  <c r="K191" i="18"/>
  <c r="I192" i="18"/>
  <c r="N191" i="18"/>
  <c r="L191" i="18"/>
  <c r="J191" i="18"/>
  <c r="H192" i="18"/>
  <c r="H199" i="28" l="1"/>
  <c r="M198" i="28"/>
  <c r="L198" i="28"/>
  <c r="N198" i="28"/>
  <c r="P198" i="28"/>
  <c r="K199" i="28"/>
  <c r="I196" i="27"/>
  <c r="J196" i="27" s="1"/>
  <c r="P196" i="27"/>
  <c r="H197" i="27"/>
  <c r="N196" i="27"/>
  <c r="K197" i="27"/>
  <c r="L196" i="27"/>
  <c r="M196" i="27"/>
  <c r="J196" i="26"/>
  <c r="N196" i="26"/>
  <c r="K197" i="26"/>
  <c r="L196" i="26"/>
  <c r="H197" i="26"/>
  <c r="P197" i="26" s="1"/>
  <c r="M196" i="26"/>
  <c r="I193" i="18"/>
  <c r="K192" i="18"/>
  <c r="N192" i="18"/>
  <c r="J192" i="18"/>
  <c r="L192" i="18"/>
  <c r="H193" i="18"/>
  <c r="H200" i="28" l="1"/>
  <c r="M199" i="28"/>
  <c r="K200" i="28"/>
  <c r="L199" i="28"/>
  <c r="P199" i="28"/>
  <c r="N199" i="28"/>
  <c r="I197" i="27"/>
  <c r="J197" i="27" s="1"/>
  <c r="H198" i="27"/>
  <c r="K198" i="27"/>
  <c r="P197" i="27"/>
  <c r="L197" i="27"/>
  <c r="N197" i="27"/>
  <c r="M197" i="27"/>
  <c r="J197" i="26"/>
  <c r="H198" i="26"/>
  <c r="P198" i="26" s="1"/>
  <c r="L197" i="26"/>
  <c r="N197" i="26"/>
  <c r="M197" i="26"/>
  <c r="K198" i="26"/>
  <c r="K193" i="18"/>
  <c r="I194" i="18"/>
  <c r="J193" i="18"/>
  <c r="L193" i="18"/>
  <c r="N193" i="18"/>
  <c r="H194" i="18"/>
  <c r="H201" i="28" l="1"/>
  <c r="M200" i="28"/>
  <c r="L200" i="28"/>
  <c r="N200" i="28"/>
  <c r="P200" i="28"/>
  <c r="K201" i="28"/>
  <c r="I198" i="27"/>
  <c r="J198" i="27" s="1"/>
  <c r="K199" i="27"/>
  <c r="H199" i="27"/>
  <c r="M198" i="27"/>
  <c r="N198" i="27"/>
  <c r="P198" i="27"/>
  <c r="L198" i="27"/>
  <c r="J198" i="26"/>
  <c r="M198" i="26"/>
  <c r="N198" i="26"/>
  <c r="H199" i="26"/>
  <c r="P199" i="26" s="1"/>
  <c r="K199" i="26"/>
  <c r="L198" i="26"/>
  <c r="K194" i="18"/>
  <c r="I195" i="18"/>
  <c r="J194" i="18"/>
  <c r="N194" i="18"/>
  <c r="L194" i="18"/>
  <c r="H195" i="18"/>
  <c r="H202" i="28" l="1"/>
  <c r="M201" i="28"/>
  <c r="K202" i="28"/>
  <c r="L201" i="28"/>
  <c r="N201" i="28"/>
  <c r="P201" i="28"/>
  <c r="I199" i="27"/>
  <c r="J199" i="27" s="1"/>
  <c r="K200" i="27"/>
  <c r="L199" i="27"/>
  <c r="M199" i="27"/>
  <c r="N199" i="27"/>
  <c r="P199" i="27"/>
  <c r="H200" i="27"/>
  <c r="J199" i="26"/>
  <c r="L199" i="26"/>
  <c r="H200" i="26"/>
  <c r="P200" i="26" s="1"/>
  <c r="N199" i="26"/>
  <c r="K200" i="26"/>
  <c r="M199" i="26"/>
  <c r="K195" i="18"/>
  <c r="I196" i="18"/>
  <c r="J195" i="18"/>
  <c r="L195" i="18"/>
  <c r="N195" i="18"/>
  <c r="H196" i="18"/>
  <c r="H203" i="28" l="1"/>
  <c r="M202" i="28"/>
  <c r="L202" i="28"/>
  <c r="N202" i="28"/>
  <c r="P202" i="28"/>
  <c r="K203" i="28"/>
  <c r="I200" i="27"/>
  <c r="J200" i="27" s="1"/>
  <c r="L200" i="27"/>
  <c r="M200" i="27"/>
  <c r="K201" i="27"/>
  <c r="P200" i="27"/>
  <c r="H201" i="27"/>
  <c r="N200" i="27"/>
  <c r="J200" i="26"/>
  <c r="N200" i="26"/>
  <c r="K201" i="26"/>
  <c r="L200" i="26"/>
  <c r="M200" i="26"/>
  <c r="H201" i="26"/>
  <c r="P201" i="26" s="1"/>
  <c r="I197" i="18"/>
  <c r="K196" i="18"/>
  <c r="J196" i="18"/>
  <c r="L196" i="18"/>
  <c r="N196" i="18"/>
  <c r="H197" i="18"/>
  <c r="H204" i="28" l="1"/>
  <c r="M203" i="28"/>
  <c r="K204" i="28"/>
  <c r="L203" i="28"/>
  <c r="P203" i="28"/>
  <c r="N203" i="28"/>
  <c r="I201" i="27"/>
  <c r="J201" i="27" s="1"/>
  <c r="L201" i="27"/>
  <c r="M201" i="27"/>
  <c r="N201" i="27"/>
  <c r="P201" i="27"/>
  <c r="K202" i="27"/>
  <c r="H202" i="27"/>
  <c r="J201" i="26"/>
  <c r="H202" i="26"/>
  <c r="P202" i="26" s="1"/>
  <c r="L201" i="26"/>
  <c r="N201" i="26"/>
  <c r="M201" i="26"/>
  <c r="K202" i="26"/>
  <c r="I198" i="18"/>
  <c r="K197" i="18"/>
  <c r="L197" i="18"/>
  <c r="N197" i="18"/>
  <c r="J197" i="18"/>
  <c r="H198" i="18"/>
  <c r="H205" i="28" l="1"/>
  <c r="M204" i="28"/>
  <c r="L204" i="28"/>
  <c r="N204" i="28"/>
  <c r="P204" i="28"/>
  <c r="K205" i="28"/>
  <c r="I202" i="27"/>
  <c r="J202" i="27" s="1"/>
  <c r="M202" i="27"/>
  <c r="N202" i="27"/>
  <c r="P202" i="27"/>
  <c r="L202" i="27"/>
  <c r="K203" i="27"/>
  <c r="H203" i="27"/>
  <c r="J202" i="26"/>
  <c r="M202" i="26"/>
  <c r="N202" i="26"/>
  <c r="H203" i="26"/>
  <c r="P203" i="26" s="1"/>
  <c r="L202" i="26"/>
  <c r="K203" i="26"/>
  <c r="I199" i="18"/>
  <c r="K198" i="18"/>
  <c r="N198" i="18"/>
  <c r="J198" i="18"/>
  <c r="L198" i="18"/>
  <c r="H199" i="18"/>
  <c r="H206" i="28" l="1"/>
  <c r="M205" i="28"/>
  <c r="K206" i="28"/>
  <c r="L205" i="28"/>
  <c r="N205" i="28"/>
  <c r="P205" i="28"/>
  <c r="I203" i="27"/>
  <c r="J203" i="27" s="1"/>
  <c r="N203" i="27"/>
  <c r="P203" i="27"/>
  <c r="H204" i="27"/>
  <c r="M203" i="27"/>
  <c r="K204" i="27"/>
  <c r="L203" i="27"/>
  <c r="J203" i="26"/>
  <c r="L203" i="26"/>
  <c r="H204" i="26"/>
  <c r="P204" i="26" s="1"/>
  <c r="K204" i="26"/>
  <c r="M203" i="26"/>
  <c r="N203" i="26"/>
  <c r="K199" i="18"/>
  <c r="I200" i="18"/>
  <c r="N199" i="18"/>
  <c r="L199" i="18"/>
  <c r="J199" i="18"/>
  <c r="H200" i="18"/>
  <c r="H207" i="28" l="1"/>
  <c r="M206" i="28"/>
  <c r="L206" i="28"/>
  <c r="N206" i="28"/>
  <c r="P206" i="28"/>
  <c r="K207" i="28"/>
  <c r="I204" i="27"/>
  <c r="J204" i="27" s="1"/>
  <c r="P204" i="27"/>
  <c r="H205" i="27"/>
  <c r="N204" i="27"/>
  <c r="L204" i="27"/>
  <c r="M204" i="27"/>
  <c r="K205" i="27"/>
  <c r="J204" i="26"/>
  <c r="N204" i="26"/>
  <c r="K205" i="26"/>
  <c r="L204" i="26"/>
  <c r="H205" i="26"/>
  <c r="P205" i="26" s="1"/>
  <c r="M204" i="26"/>
  <c r="I201" i="18"/>
  <c r="K200" i="18"/>
  <c r="N200" i="18"/>
  <c r="L200" i="18"/>
  <c r="J200" i="18"/>
  <c r="H201" i="18"/>
  <c r="H208" i="28" l="1"/>
  <c r="M207" i="28"/>
  <c r="K208" i="28"/>
  <c r="L207" i="28"/>
  <c r="P207" i="28"/>
  <c r="N207" i="28"/>
  <c r="I205" i="27"/>
  <c r="J205" i="27" s="1"/>
  <c r="H206" i="27"/>
  <c r="K206" i="27"/>
  <c r="P205" i="27"/>
  <c r="L205" i="27"/>
  <c r="M205" i="27"/>
  <c r="N205" i="27"/>
  <c r="J205" i="26"/>
  <c r="H206" i="26"/>
  <c r="P206" i="26" s="1"/>
  <c r="L205" i="26"/>
  <c r="N205" i="26"/>
  <c r="M205" i="26"/>
  <c r="K206" i="26"/>
  <c r="I202" i="18"/>
  <c r="K201" i="18"/>
  <c r="J201" i="18"/>
  <c r="L201" i="18"/>
  <c r="N201" i="18"/>
  <c r="H202" i="18"/>
  <c r="H209" i="28" l="1"/>
  <c r="M208" i="28"/>
  <c r="L208" i="28"/>
  <c r="N208" i="28"/>
  <c r="P208" i="28"/>
  <c r="K209" i="28"/>
  <c r="I206" i="27"/>
  <c r="J206" i="27" s="1"/>
  <c r="K207" i="27"/>
  <c r="H207" i="27"/>
  <c r="L206" i="27"/>
  <c r="M206" i="27"/>
  <c r="P206" i="27"/>
  <c r="N206" i="27"/>
  <c r="J206" i="26"/>
  <c r="M206" i="26"/>
  <c r="N206" i="26"/>
  <c r="H207" i="26"/>
  <c r="P207" i="26" s="1"/>
  <c r="K207" i="26"/>
  <c r="L206" i="26"/>
  <c r="K202" i="18"/>
  <c r="I203" i="18"/>
  <c r="J202" i="18"/>
  <c r="N202" i="18"/>
  <c r="L202" i="18"/>
  <c r="H203" i="18"/>
  <c r="H210" i="28" l="1"/>
  <c r="M209" i="28"/>
  <c r="K210" i="28"/>
  <c r="L209" i="28"/>
  <c r="N209" i="28"/>
  <c r="P209" i="28"/>
  <c r="I207" i="27"/>
  <c r="J207" i="27" s="1"/>
  <c r="K208" i="27"/>
  <c r="L207" i="27"/>
  <c r="N207" i="27"/>
  <c r="P207" i="27"/>
  <c r="M207" i="27"/>
  <c r="H208" i="27"/>
  <c r="J207" i="26"/>
  <c r="L207" i="26"/>
  <c r="H208" i="26"/>
  <c r="P208" i="26" s="1"/>
  <c r="N207" i="26"/>
  <c r="K208" i="26"/>
  <c r="M207" i="26"/>
  <c r="K203" i="18"/>
  <c r="I204" i="18"/>
  <c r="J203" i="18"/>
  <c r="L203" i="18"/>
  <c r="N203" i="18"/>
  <c r="H204" i="18"/>
  <c r="H211" i="28" l="1"/>
  <c r="M210" i="28"/>
  <c r="L210" i="28"/>
  <c r="N210" i="28"/>
  <c r="P210" i="28"/>
  <c r="K211" i="28"/>
  <c r="I208" i="27"/>
  <c r="J208" i="27" s="1"/>
  <c r="L208" i="27"/>
  <c r="M208" i="27"/>
  <c r="K209" i="27"/>
  <c r="N208" i="27"/>
  <c r="P208" i="27"/>
  <c r="H209" i="27"/>
  <c r="J208" i="26"/>
  <c r="N208" i="26"/>
  <c r="K209" i="26"/>
  <c r="L208" i="26"/>
  <c r="M208" i="26"/>
  <c r="H209" i="26"/>
  <c r="P209" i="26" s="1"/>
  <c r="I205" i="18"/>
  <c r="K204" i="18"/>
  <c r="J204" i="18"/>
  <c r="L204" i="18"/>
  <c r="N204" i="18"/>
  <c r="H205" i="18"/>
  <c r="H212" i="28" l="1"/>
  <c r="M211" i="28"/>
  <c r="K212" i="28"/>
  <c r="L211" i="28"/>
  <c r="P211" i="28"/>
  <c r="N211" i="28"/>
  <c r="I209" i="27"/>
  <c r="J209" i="27" s="1"/>
  <c r="L209" i="27"/>
  <c r="M209" i="27"/>
  <c r="N209" i="27"/>
  <c r="H210" i="27"/>
  <c r="P209" i="27"/>
  <c r="K210" i="27"/>
  <c r="J209" i="26"/>
  <c r="H210" i="26"/>
  <c r="P210" i="26" s="1"/>
  <c r="L209" i="26"/>
  <c r="N209" i="26"/>
  <c r="M209" i="26"/>
  <c r="K210" i="26"/>
  <c r="I206" i="18"/>
  <c r="K205" i="18"/>
  <c r="L205" i="18"/>
  <c r="J205" i="18"/>
  <c r="N205" i="18"/>
  <c r="H206" i="18"/>
  <c r="H213" i="28" l="1"/>
  <c r="M212" i="28"/>
  <c r="L212" i="28"/>
  <c r="N212" i="28"/>
  <c r="P212" i="28"/>
  <c r="K213" i="28"/>
  <c r="I210" i="27"/>
  <c r="J210" i="27" s="1"/>
  <c r="M210" i="27"/>
  <c r="N210" i="27"/>
  <c r="P210" i="27"/>
  <c r="L210" i="27"/>
  <c r="H211" i="27"/>
  <c r="K211" i="27"/>
  <c r="J210" i="26"/>
  <c r="M210" i="26"/>
  <c r="N210" i="26"/>
  <c r="H211" i="26"/>
  <c r="P211" i="26" s="1"/>
  <c r="L210" i="26"/>
  <c r="K211" i="26"/>
  <c r="I207" i="18"/>
  <c r="K206" i="18"/>
  <c r="J206" i="18"/>
  <c r="N206" i="18"/>
  <c r="L206" i="18"/>
  <c r="H207" i="18"/>
  <c r="H214" i="28" l="1"/>
  <c r="M213" i="28"/>
  <c r="K214" i="28"/>
  <c r="L213" i="28"/>
  <c r="N213" i="28"/>
  <c r="P213" i="28"/>
  <c r="I211" i="27"/>
  <c r="J211" i="27" s="1"/>
  <c r="N211" i="27"/>
  <c r="P211" i="27"/>
  <c r="H212" i="27"/>
  <c r="M211" i="27"/>
  <c r="L211" i="27"/>
  <c r="K212" i="27"/>
  <c r="J211" i="26"/>
  <c r="L211" i="26"/>
  <c r="H212" i="26"/>
  <c r="P212" i="26" s="1"/>
  <c r="K212" i="26"/>
  <c r="M211" i="26"/>
  <c r="N211" i="26"/>
  <c r="K207" i="18"/>
  <c r="I208" i="18"/>
  <c r="N207" i="18"/>
  <c r="L207" i="18"/>
  <c r="J207" i="18"/>
  <c r="H208" i="18"/>
  <c r="H215" i="28" l="1"/>
  <c r="M214" i="28"/>
  <c r="L214" i="28"/>
  <c r="N214" i="28"/>
  <c r="P214" i="28"/>
  <c r="K215" i="28"/>
  <c r="I212" i="27"/>
  <c r="J212" i="27" s="1"/>
  <c r="P212" i="27"/>
  <c r="H213" i="27"/>
  <c r="N212" i="27"/>
  <c r="K213" i="27"/>
  <c r="L212" i="27"/>
  <c r="M212" i="27"/>
  <c r="J212" i="26"/>
  <c r="N212" i="26"/>
  <c r="K213" i="26"/>
  <c r="L212" i="26"/>
  <c r="H213" i="26"/>
  <c r="P213" i="26" s="1"/>
  <c r="M212" i="26"/>
  <c r="I209" i="18"/>
  <c r="K208" i="18"/>
  <c r="N208" i="18"/>
  <c r="L208" i="18"/>
  <c r="J208" i="18"/>
  <c r="H209" i="18"/>
  <c r="H216" i="28" l="1"/>
  <c r="M215" i="28"/>
  <c r="K216" i="28"/>
  <c r="L215" i="28"/>
  <c r="P215" i="28"/>
  <c r="N215" i="28"/>
  <c r="I213" i="27"/>
  <c r="J213" i="27" s="1"/>
  <c r="H214" i="27"/>
  <c r="K214" i="27"/>
  <c r="P213" i="27"/>
  <c r="N213" i="27"/>
  <c r="L213" i="27"/>
  <c r="M213" i="27"/>
  <c r="J213" i="26"/>
  <c r="H214" i="26"/>
  <c r="P214" i="26" s="1"/>
  <c r="L213" i="26"/>
  <c r="N213" i="26"/>
  <c r="M213" i="26"/>
  <c r="K214" i="26"/>
  <c r="I210" i="18"/>
  <c r="K209" i="18"/>
  <c r="N209" i="18"/>
  <c r="J209" i="18"/>
  <c r="L209" i="18"/>
  <c r="H210" i="18"/>
  <c r="H217" i="28" l="1"/>
  <c r="M216" i="28"/>
  <c r="L216" i="28"/>
  <c r="N216" i="28"/>
  <c r="P216" i="28"/>
  <c r="K217" i="28"/>
  <c r="I214" i="27"/>
  <c r="J214" i="27" s="1"/>
  <c r="K215" i="27"/>
  <c r="H215" i="27"/>
  <c r="M214" i="27"/>
  <c r="N214" i="27"/>
  <c r="L214" i="27"/>
  <c r="P214" i="27"/>
  <c r="J214" i="26"/>
  <c r="M214" i="26"/>
  <c r="N214" i="26"/>
  <c r="H215" i="26"/>
  <c r="P215" i="26" s="1"/>
  <c r="K215" i="26"/>
  <c r="L214" i="26"/>
  <c r="I211" i="18"/>
  <c r="K210" i="18"/>
  <c r="N210" i="18"/>
  <c r="J210" i="18"/>
  <c r="L210" i="18"/>
  <c r="H211" i="18"/>
  <c r="H218" i="28" l="1"/>
  <c r="M217" i="28"/>
  <c r="K218" i="28"/>
  <c r="L217" i="28"/>
  <c r="N217" i="28"/>
  <c r="P217" i="28"/>
  <c r="I215" i="27"/>
  <c r="J215" i="27" s="1"/>
  <c r="K216" i="27"/>
  <c r="L215" i="27"/>
  <c r="M215" i="27"/>
  <c r="N215" i="27"/>
  <c r="P215" i="27"/>
  <c r="H216" i="27"/>
  <c r="J215" i="26"/>
  <c r="L215" i="26"/>
  <c r="H216" i="26"/>
  <c r="P216" i="26" s="1"/>
  <c r="N215" i="26"/>
  <c r="K216" i="26"/>
  <c r="M215" i="26"/>
  <c r="I212" i="18"/>
  <c r="K211" i="18"/>
  <c r="J211" i="18"/>
  <c r="L211" i="18"/>
  <c r="N211" i="18"/>
  <c r="H212" i="18"/>
  <c r="H219" i="28" l="1"/>
  <c r="M218" i="28"/>
  <c r="L218" i="28"/>
  <c r="N218" i="28"/>
  <c r="P218" i="28"/>
  <c r="K219" i="28"/>
  <c r="I216" i="27"/>
  <c r="J216" i="27" s="1"/>
  <c r="L216" i="27"/>
  <c r="M216" i="27"/>
  <c r="K217" i="27"/>
  <c r="P216" i="27"/>
  <c r="H217" i="27"/>
  <c r="N216" i="27"/>
  <c r="J216" i="26"/>
  <c r="N216" i="26"/>
  <c r="K217" i="26"/>
  <c r="L216" i="26"/>
  <c r="M216" i="26"/>
  <c r="H217" i="26"/>
  <c r="P217" i="26" s="1"/>
  <c r="I213" i="18"/>
  <c r="K212" i="18"/>
  <c r="J212" i="18"/>
  <c r="L212" i="18"/>
  <c r="N212" i="18"/>
  <c r="H213" i="18"/>
  <c r="H220" i="28" l="1"/>
  <c r="M219" i="28"/>
  <c r="K220" i="28"/>
  <c r="L219" i="28"/>
  <c r="P219" i="28"/>
  <c r="N219" i="28"/>
  <c r="I217" i="27"/>
  <c r="J217" i="27" s="1"/>
  <c r="L217" i="27"/>
  <c r="M217" i="27"/>
  <c r="N217" i="27"/>
  <c r="P217" i="27"/>
  <c r="H218" i="27"/>
  <c r="K218" i="27"/>
  <c r="J217" i="26"/>
  <c r="H218" i="26"/>
  <c r="P218" i="26" s="1"/>
  <c r="L217" i="26"/>
  <c r="N217" i="26"/>
  <c r="M217" i="26"/>
  <c r="K218" i="26"/>
  <c r="I214" i="18"/>
  <c r="K213" i="18"/>
  <c r="L213" i="18"/>
  <c r="J213" i="18"/>
  <c r="N213" i="18"/>
  <c r="H214" i="18"/>
  <c r="H221" i="28" l="1"/>
  <c r="M220" i="28"/>
  <c r="L220" i="28"/>
  <c r="N220" i="28"/>
  <c r="P220" i="28"/>
  <c r="K221" i="28"/>
  <c r="I218" i="27"/>
  <c r="J218" i="27" s="1"/>
  <c r="M218" i="27"/>
  <c r="N218" i="27"/>
  <c r="P218" i="27"/>
  <c r="L218" i="27"/>
  <c r="K219" i="27"/>
  <c r="H219" i="27"/>
  <c r="J218" i="26"/>
  <c r="M218" i="26"/>
  <c r="N218" i="26"/>
  <c r="H219" i="26"/>
  <c r="P219" i="26" s="1"/>
  <c r="L218" i="26"/>
  <c r="K219" i="26"/>
  <c r="I215" i="18"/>
  <c r="K214" i="18"/>
  <c r="J214" i="18"/>
  <c r="L214" i="18"/>
  <c r="N214" i="18"/>
  <c r="H215" i="18"/>
  <c r="H222" i="28" l="1"/>
  <c r="M221" i="28"/>
  <c r="K222" i="28"/>
  <c r="L221" i="28"/>
  <c r="N221" i="28"/>
  <c r="P221" i="28"/>
  <c r="I219" i="27"/>
  <c r="J219" i="27" s="1"/>
  <c r="N219" i="27"/>
  <c r="P219" i="27"/>
  <c r="H220" i="27"/>
  <c r="M219" i="27"/>
  <c r="K220" i="27"/>
  <c r="L219" i="27"/>
  <c r="J219" i="26"/>
  <c r="L219" i="26"/>
  <c r="H220" i="26"/>
  <c r="P220" i="26" s="1"/>
  <c r="K220" i="26"/>
  <c r="M219" i="26"/>
  <c r="N219" i="26"/>
  <c r="K215" i="18"/>
  <c r="I216" i="18"/>
  <c r="N215" i="18"/>
  <c r="J215" i="18"/>
  <c r="L215" i="18"/>
  <c r="H216" i="18"/>
  <c r="H223" i="28" l="1"/>
  <c r="M222" i="28"/>
  <c r="L222" i="28"/>
  <c r="N222" i="28"/>
  <c r="P222" i="28"/>
  <c r="K223" i="28"/>
  <c r="I220" i="27"/>
  <c r="J220" i="27" s="1"/>
  <c r="P220" i="27"/>
  <c r="H221" i="27"/>
  <c r="N220" i="27"/>
  <c r="M220" i="27"/>
  <c r="L220" i="27"/>
  <c r="K221" i="27"/>
  <c r="J220" i="26"/>
  <c r="N220" i="26"/>
  <c r="K221" i="26"/>
  <c r="L220" i="26"/>
  <c r="H221" i="26"/>
  <c r="P221" i="26" s="1"/>
  <c r="M220" i="26"/>
  <c r="I217" i="18"/>
  <c r="K216" i="18"/>
  <c r="N216" i="18"/>
  <c r="J216" i="18"/>
  <c r="L216" i="18"/>
  <c r="H217" i="18"/>
  <c r="H224" i="28" l="1"/>
  <c r="M223" i="28"/>
  <c r="K224" i="28"/>
  <c r="L223" i="28"/>
  <c r="P223" i="28"/>
  <c r="N223" i="28"/>
  <c r="I221" i="27"/>
  <c r="J221" i="27" s="1"/>
  <c r="H222" i="27"/>
  <c r="K222" i="27"/>
  <c r="P221" i="27"/>
  <c r="L221" i="27"/>
  <c r="M221" i="27"/>
  <c r="N221" i="27"/>
  <c r="J221" i="26"/>
  <c r="H222" i="26"/>
  <c r="P222" i="26" s="1"/>
  <c r="L221" i="26"/>
  <c r="N221" i="26"/>
  <c r="M221" i="26"/>
  <c r="K222" i="26"/>
  <c r="I218" i="18"/>
  <c r="K217" i="18"/>
  <c r="L217" i="18"/>
  <c r="N217" i="18"/>
  <c r="J217" i="18"/>
  <c r="H218" i="18"/>
  <c r="H225" i="28" l="1"/>
  <c r="M224" i="28"/>
  <c r="L224" i="28"/>
  <c r="N224" i="28"/>
  <c r="P224" i="28"/>
  <c r="K225" i="28"/>
  <c r="I222" i="27"/>
  <c r="J222" i="27" s="1"/>
  <c r="K223" i="27"/>
  <c r="H223" i="27"/>
  <c r="L222" i="27"/>
  <c r="M222" i="27"/>
  <c r="N222" i="27"/>
  <c r="P222" i="27"/>
  <c r="J222" i="26"/>
  <c r="M222" i="26"/>
  <c r="N222" i="26"/>
  <c r="H223" i="26"/>
  <c r="P223" i="26" s="1"/>
  <c r="K223" i="26"/>
  <c r="L222" i="26"/>
  <c r="K218" i="18"/>
  <c r="I219" i="18"/>
  <c r="N218" i="18"/>
  <c r="J218" i="18"/>
  <c r="L218" i="18"/>
  <c r="H219" i="18"/>
  <c r="H226" i="28" l="1"/>
  <c r="M225" i="28"/>
  <c r="K226" i="28"/>
  <c r="L225" i="28"/>
  <c r="N225" i="28"/>
  <c r="P225" i="28"/>
  <c r="I223" i="27"/>
  <c r="J223" i="27" s="1"/>
  <c r="K224" i="27"/>
  <c r="L223" i="27"/>
  <c r="N223" i="27"/>
  <c r="P223" i="27"/>
  <c r="M223" i="27"/>
  <c r="H224" i="27"/>
  <c r="J223" i="26"/>
  <c r="L223" i="26"/>
  <c r="H224" i="26"/>
  <c r="P224" i="26" s="1"/>
  <c r="N223" i="26"/>
  <c r="K224" i="26"/>
  <c r="M223" i="26"/>
  <c r="K219" i="18"/>
  <c r="I220" i="18"/>
  <c r="J219" i="18"/>
  <c r="L219" i="18"/>
  <c r="N219" i="18"/>
  <c r="H220" i="18"/>
  <c r="H227" i="28" l="1"/>
  <c r="M226" i="28"/>
  <c r="L226" i="28"/>
  <c r="N226" i="28"/>
  <c r="P226" i="28"/>
  <c r="K227" i="28"/>
  <c r="I224" i="27"/>
  <c r="J224" i="27" s="1"/>
  <c r="L224" i="27"/>
  <c r="M224" i="27"/>
  <c r="K225" i="27"/>
  <c r="N224" i="27"/>
  <c r="P224" i="27"/>
  <c r="H225" i="27"/>
  <c r="J224" i="26"/>
  <c r="N224" i="26"/>
  <c r="K225" i="26"/>
  <c r="L224" i="26"/>
  <c r="M224" i="26"/>
  <c r="H225" i="26"/>
  <c r="P225" i="26" s="1"/>
  <c r="I221" i="18"/>
  <c r="K220" i="18"/>
  <c r="J220" i="18"/>
  <c r="L220" i="18"/>
  <c r="N220" i="18"/>
  <c r="H221" i="18"/>
  <c r="H228" i="28" l="1"/>
  <c r="M227" i="28"/>
  <c r="K228" i="28"/>
  <c r="L227" i="28"/>
  <c r="P227" i="28"/>
  <c r="N227" i="28"/>
  <c r="I225" i="27"/>
  <c r="J225" i="27" s="1"/>
  <c r="L225" i="27"/>
  <c r="M225" i="27"/>
  <c r="N225" i="27"/>
  <c r="H226" i="27"/>
  <c r="P225" i="27"/>
  <c r="K226" i="27"/>
  <c r="J225" i="26"/>
  <c r="H226" i="26"/>
  <c r="P226" i="26" s="1"/>
  <c r="L225" i="26"/>
  <c r="N225" i="26"/>
  <c r="M225" i="26"/>
  <c r="K226" i="26"/>
  <c r="I222" i="18"/>
  <c r="K221" i="18"/>
  <c r="L221" i="18"/>
  <c r="J221" i="18"/>
  <c r="N221" i="18"/>
  <c r="H222" i="18"/>
  <c r="H229" i="28" l="1"/>
  <c r="M228" i="28"/>
  <c r="L228" i="28"/>
  <c r="N228" i="28"/>
  <c r="P228" i="28"/>
  <c r="K229" i="28"/>
  <c r="I226" i="27"/>
  <c r="J226" i="27" s="1"/>
  <c r="M226" i="27"/>
  <c r="N226" i="27"/>
  <c r="P226" i="27"/>
  <c r="L226" i="27"/>
  <c r="H227" i="27"/>
  <c r="K227" i="27"/>
  <c r="J226" i="26"/>
  <c r="M226" i="26"/>
  <c r="N226" i="26"/>
  <c r="H227" i="26"/>
  <c r="P227" i="26" s="1"/>
  <c r="L226" i="26"/>
  <c r="K227" i="26"/>
  <c r="I223" i="18"/>
  <c r="K222" i="18"/>
  <c r="J222" i="18"/>
  <c r="N222" i="18"/>
  <c r="L222" i="18"/>
  <c r="H223" i="18"/>
  <c r="H230" i="28" l="1"/>
  <c r="M229" i="28"/>
  <c r="K230" i="28"/>
  <c r="L229" i="28"/>
  <c r="N229" i="28"/>
  <c r="P229" i="28"/>
  <c r="I227" i="27"/>
  <c r="J227" i="27" s="1"/>
  <c r="N227" i="27"/>
  <c r="P227" i="27"/>
  <c r="H228" i="27"/>
  <c r="M227" i="27"/>
  <c r="L227" i="27"/>
  <c r="K228" i="27"/>
  <c r="J227" i="26"/>
  <c r="L227" i="26"/>
  <c r="H228" i="26"/>
  <c r="P228" i="26" s="1"/>
  <c r="K228" i="26"/>
  <c r="M227" i="26"/>
  <c r="N227" i="26"/>
  <c r="K223" i="18"/>
  <c r="I224" i="18"/>
  <c r="N223" i="18"/>
  <c r="L223" i="18"/>
  <c r="J223" i="18"/>
  <c r="H224" i="18"/>
  <c r="H231" i="28" l="1"/>
  <c r="M230" i="28"/>
  <c r="L230" i="28"/>
  <c r="N230" i="28"/>
  <c r="P230" i="28"/>
  <c r="K231" i="28"/>
  <c r="I228" i="27"/>
  <c r="J228" i="27" s="1"/>
  <c r="P228" i="27"/>
  <c r="H229" i="27"/>
  <c r="N228" i="27"/>
  <c r="K229" i="27"/>
  <c r="L228" i="27"/>
  <c r="M228" i="27"/>
  <c r="J228" i="26"/>
  <c r="N228" i="26"/>
  <c r="K229" i="26"/>
  <c r="L228" i="26"/>
  <c r="H229" i="26"/>
  <c r="P229" i="26" s="1"/>
  <c r="M228" i="26"/>
  <c r="K224" i="18"/>
  <c r="I225" i="18"/>
  <c r="N224" i="18"/>
  <c r="J224" i="18"/>
  <c r="L224" i="18"/>
  <c r="H225" i="18"/>
  <c r="H232" i="28" l="1"/>
  <c r="M231" i="28"/>
  <c r="K232" i="28"/>
  <c r="L231" i="28"/>
  <c r="P231" i="28"/>
  <c r="N231" i="28"/>
  <c r="I229" i="27"/>
  <c r="J229" i="27" s="1"/>
  <c r="H230" i="27"/>
  <c r="K230" i="27"/>
  <c r="P229" i="27"/>
  <c r="N229" i="27"/>
  <c r="L229" i="27"/>
  <c r="M229" i="27"/>
  <c r="J229" i="26"/>
  <c r="H230" i="26"/>
  <c r="P230" i="26" s="1"/>
  <c r="L229" i="26"/>
  <c r="N229" i="26"/>
  <c r="M229" i="26"/>
  <c r="K230" i="26"/>
  <c r="K225" i="18"/>
  <c r="I226" i="18"/>
  <c r="J225" i="18"/>
  <c r="L225" i="18"/>
  <c r="N225" i="18"/>
  <c r="H226" i="18"/>
  <c r="H233" i="28" l="1"/>
  <c r="M232" i="28"/>
  <c r="L232" i="28"/>
  <c r="N232" i="28"/>
  <c r="P232" i="28"/>
  <c r="K233" i="28"/>
  <c r="I230" i="27"/>
  <c r="J230" i="27" s="1"/>
  <c r="K231" i="27"/>
  <c r="H231" i="27"/>
  <c r="M230" i="27"/>
  <c r="N230" i="27"/>
  <c r="L230" i="27"/>
  <c r="P230" i="27"/>
  <c r="J230" i="26"/>
  <c r="M230" i="26"/>
  <c r="N230" i="26"/>
  <c r="H231" i="26"/>
  <c r="P231" i="26" s="1"/>
  <c r="K231" i="26"/>
  <c r="L230" i="26"/>
  <c r="K226" i="18"/>
  <c r="I227" i="18"/>
  <c r="J226" i="18"/>
  <c r="N226" i="18"/>
  <c r="L226" i="18"/>
  <c r="H227" i="18"/>
  <c r="H234" i="28" l="1"/>
  <c r="M233" i="28"/>
  <c r="K234" i="28"/>
  <c r="L233" i="28"/>
  <c r="N233" i="28"/>
  <c r="P233" i="28"/>
  <c r="I231" i="27"/>
  <c r="J231" i="27" s="1"/>
  <c r="K232" i="27"/>
  <c r="L231" i="27"/>
  <c r="M231" i="27"/>
  <c r="N231" i="27"/>
  <c r="P231" i="27"/>
  <c r="H232" i="27"/>
  <c r="J231" i="26"/>
  <c r="L231" i="26"/>
  <c r="H232" i="26"/>
  <c r="P232" i="26" s="1"/>
  <c r="N231" i="26"/>
  <c r="K232" i="26"/>
  <c r="M231" i="26"/>
  <c r="K227" i="18"/>
  <c r="I228" i="18"/>
  <c r="J227" i="18"/>
  <c r="L227" i="18"/>
  <c r="N227" i="18"/>
  <c r="H228" i="18"/>
  <c r="H235" i="28" l="1"/>
  <c r="M234" i="28"/>
  <c r="L234" i="28"/>
  <c r="N234" i="28"/>
  <c r="P234" i="28"/>
  <c r="K235" i="28"/>
  <c r="I232" i="27"/>
  <c r="J232" i="27" s="1"/>
  <c r="L232" i="27"/>
  <c r="M232" i="27"/>
  <c r="K233" i="27"/>
  <c r="P232" i="27"/>
  <c r="H233" i="27"/>
  <c r="N232" i="27"/>
  <c r="J232" i="26"/>
  <c r="N232" i="26"/>
  <c r="K233" i="26"/>
  <c r="L232" i="26"/>
  <c r="M232" i="26"/>
  <c r="H233" i="26"/>
  <c r="P233" i="26" s="1"/>
  <c r="I229" i="18"/>
  <c r="K228" i="18"/>
  <c r="J228" i="18"/>
  <c r="L228" i="18"/>
  <c r="N228" i="18"/>
  <c r="H229" i="18"/>
  <c r="H236" i="28" l="1"/>
  <c r="M235" i="28"/>
  <c r="K236" i="28"/>
  <c r="L235" i="28"/>
  <c r="P235" i="28"/>
  <c r="N235" i="28"/>
  <c r="I233" i="27"/>
  <c r="J233" i="27" s="1"/>
  <c r="L233" i="27"/>
  <c r="M233" i="27"/>
  <c r="N233" i="27"/>
  <c r="P233" i="27"/>
  <c r="K234" i="27"/>
  <c r="H234" i="27"/>
  <c r="J233" i="26"/>
  <c r="H234" i="26"/>
  <c r="P234" i="26" s="1"/>
  <c r="L233" i="26"/>
  <c r="N233" i="26"/>
  <c r="M233" i="26"/>
  <c r="K234" i="26"/>
  <c r="I230" i="18"/>
  <c r="K229" i="18"/>
  <c r="L229" i="18"/>
  <c r="N229" i="18"/>
  <c r="J229" i="18"/>
  <c r="H230" i="18"/>
  <c r="H237" i="28" l="1"/>
  <c r="M236" i="28"/>
  <c r="L236" i="28"/>
  <c r="N236" i="28"/>
  <c r="P236" i="28"/>
  <c r="K237" i="28"/>
  <c r="I234" i="27"/>
  <c r="J234" i="27" s="1"/>
  <c r="M234" i="27"/>
  <c r="N234" i="27"/>
  <c r="P234" i="27"/>
  <c r="L234" i="27"/>
  <c r="K235" i="27"/>
  <c r="H235" i="27"/>
  <c r="J234" i="26"/>
  <c r="M234" i="26"/>
  <c r="N234" i="26"/>
  <c r="H235" i="26"/>
  <c r="P235" i="26" s="1"/>
  <c r="L234" i="26"/>
  <c r="K235" i="26"/>
  <c r="I231" i="18"/>
  <c r="K230" i="18"/>
  <c r="N230" i="18"/>
  <c r="L230" i="18"/>
  <c r="J230" i="18"/>
  <c r="H231" i="18"/>
  <c r="H238" i="28" l="1"/>
  <c r="M237" i="28"/>
  <c r="K238" i="28"/>
  <c r="L237" i="28"/>
  <c r="N237" i="28"/>
  <c r="P237" i="28"/>
  <c r="I235" i="27"/>
  <c r="J235" i="27" s="1"/>
  <c r="N235" i="27"/>
  <c r="P235" i="27"/>
  <c r="H236" i="27"/>
  <c r="M235" i="27"/>
  <c r="K236" i="27"/>
  <c r="L235" i="27"/>
  <c r="J235" i="26"/>
  <c r="L235" i="26"/>
  <c r="H236" i="26"/>
  <c r="P236" i="26" s="1"/>
  <c r="K236" i="26"/>
  <c r="M235" i="26"/>
  <c r="N235" i="26"/>
  <c r="K231" i="18"/>
  <c r="I232" i="18"/>
  <c r="N231" i="18"/>
  <c r="J231" i="18"/>
  <c r="L231" i="18"/>
  <c r="H232" i="18"/>
  <c r="H239" i="28" l="1"/>
  <c r="M238" i="28"/>
  <c r="L238" i="28"/>
  <c r="N238" i="28"/>
  <c r="P238" i="28"/>
  <c r="K239" i="28"/>
  <c r="I236" i="27"/>
  <c r="J236" i="27" s="1"/>
  <c r="P236" i="27"/>
  <c r="H237" i="27"/>
  <c r="N236" i="27"/>
  <c r="L236" i="27"/>
  <c r="M236" i="27"/>
  <c r="K237" i="27"/>
  <c r="J236" i="26"/>
  <c r="N236" i="26"/>
  <c r="K237" i="26"/>
  <c r="L236" i="26"/>
  <c r="H237" i="26"/>
  <c r="P237" i="26" s="1"/>
  <c r="M236" i="26"/>
  <c r="I233" i="18"/>
  <c r="K232" i="18"/>
  <c r="N232" i="18"/>
  <c r="L232" i="18"/>
  <c r="J232" i="18"/>
  <c r="H233" i="18"/>
  <c r="H240" i="28" l="1"/>
  <c r="M239" i="28"/>
  <c r="K240" i="28"/>
  <c r="L239" i="28"/>
  <c r="P239" i="28"/>
  <c r="N239" i="28"/>
  <c r="I237" i="27"/>
  <c r="J237" i="27" s="1"/>
  <c r="H238" i="27"/>
  <c r="K238" i="27"/>
  <c r="P237" i="27"/>
  <c r="L237" i="27"/>
  <c r="M237" i="27"/>
  <c r="N237" i="27"/>
  <c r="J237" i="26"/>
  <c r="H238" i="26"/>
  <c r="P238" i="26" s="1"/>
  <c r="L237" i="26"/>
  <c r="N237" i="26"/>
  <c r="M237" i="26"/>
  <c r="K238" i="26"/>
  <c r="K233" i="18"/>
  <c r="I234" i="18"/>
  <c r="J233" i="18"/>
  <c r="L233" i="18"/>
  <c r="N233" i="18"/>
  <c r="H234" i="18"/>
  <c r="H241" i="28" l="1"/>
  <c r="M240" i="28"/>
  <c r="L240" i="28"/>
  <c r="N240" i="28"/>
  <c r="P240" i="28"/>
  <c r="K241" i="28"/>
  <c r="I238" i="27"/>
  <c r="J238" i="27" s="1"/>
  <c r="K239" i="27"/>
  <c r="H239" i="27"/>
  <c r="L238" i="27"/>
  <c r="M238" i="27"/>
  <c r="P238" i="27"/>
  <c r="N238" i="27"/>
  <c r="J238" i="26"/>
  <c r="M238" i="26"/>
  <c r="N238" i="26"/>
  <c r="H239" i="26"/>
  <c r="P239" i="26" s="1"/>
  <c r="K239" i="26"/>
  <c r="L238" i="26"/>
  <c r="K234" i="18"/>
  <c r="I235" i="18"/>
  <c r="J234" i="18"/>
  <c r="L234" i="18"/>
  <c r="N234" i="18"/>
  <c r="H235" i="18"/>
  <c r="H242" i="28" l="1"/>
  <c r="M241" i="28"/>
  <c r="K242" i="28"/>
  <c r="L241" i="28"/>
  <c r="N241" i="28"/>
  <c r="P241" i="28"/>
  <c r="I239" i="27"/>
  <c r="J239" i="27" s="1"/>
  <c r="K240" i="27"/>
  <c r="L239" i="27"/>
  <c r="N239" i="27"/>
  <c r="P239" i="27"/>
  <c r="M239" i="27"/>
  <c r="H240" i="27"/>
  <c r="J239" i="26"/>
  <c r="L239" i="26"/>
  <c r="H240" i="26"/>
  <c r="P240" i="26" s="1"/>
  <c r="N239" i="26"/>
  <c r="K240" i="26"/>
  <c r="M239" i="26"/>
  <c r="K235" i="18"/>
  <c r="I236" i="18"/>
  <c r="J235" i="18"/>
  <c r="L235" i="18"/>
  <c r="N235" i="18"/>
  <c r="H236" i="18"/>
  <c r="H243" i="28" l="1"/>
  <c r="M242" i="28"/>
  <c r="L242" i="28"/>
  <c r="N242" i="28"/>
  <c r="P242" i="28"/>
  <c r="K243" i="28"/>
  <c r="I240" i="27"/>
  <c r="J240" i="27" s="1"/>
  <c r="L240" i="27"/>
  <c r="M240" i="27"/>
  <c r="K241" i="27"/>
  <c r="N240" i="27"/>
  <c r="P240" i="27"/>
  <c r="H241" i="27"/>
  <c r="J240" i="26"/>
  <c r="N240" i="26"/>
  <c r="K241" i="26"/>
  <c r="L240" i="26"/>
  <c r="M240" i="26"/>
  <c r="H241" i="26"/>
  <c r="P241" i="26" s="1"/>
  <c r="I237" i="18"/>
  <c r="K236" i="18"/>
  <c r="J236" i="18"/>
  <c r="L236" i="18"/>
  <c r="N236" i="18"/>
  <c r="H237" i="18"/>
  <c r="H244" i="28" l="1"/>
  <c r="M243" i="28"/>
  <c r="K244" i="28"/>
  <c r="L243" i="28"/>
  <c r="P243" i="28"/>
  <c r="N243" i="28"/>
  <c r="I241" i="27"/>
  <c r="J241" i="27" s="1"/>
  <c r="L241" i="27"/>
  <c r="M241" i="27"/>
  <c r="N241" i="27"/>
  <c r="H242" i="27"/>
  <c r="P241" i="27"/>
  <c r="K242" i="27"/>
  <c r="J241" i="26"/>
  <c r="H242" i="26"/>
  <c r="P242" i="26" s="1"/>
  <c r="L241" i="26"/>
  <c r="N241" i="26"/>
  <c r="M241" i="26"/>
  <c r="K242" i="26"/>
  <c r="I238" i="18"/>
  <c r="K237" i="18"/>
  <c r="L237" i="18"/>
  <c r="J237" i="18"/>
  <c r="N237" i="18"/>
  <c r="H238" i="18"/>
  <c r="H245" i="28" l="1"/>
  <c r="M244" i="28"/>
  <c r="L244" i="28"/>
  <c r="N244" i="28"/>
  <c r="P244" i="28"/>
  <c r="K245" i="28"/>
  <c r="I242" i="27"/>
  <c r="J242" i="27" s="1"/>
  <c r="M242" i="27"/>
  <c r="N242" i="27"/>
  <c r="P242" i="27"/>
  <c r="L242" i="27"/>
  <c r="H243" i="27"/>
  <c r="K243" i="27"/>
  <c r="J242" i="26"/>
  <c r="M242" i="26"/>
  <c r="N242" i="26"/>
  <c r="H243" i="26"/>
  <c r="P243" i="26" s="1"/>
  <c r="L242" i="26"/>
  <c r="K243" i="26"/>
  <c r="I239" i="18"/>
  <c r="K238" i="18"/>
  <c r="J238" i="18"/>
  <c r="N238" i="18"/>
  <c r="L238" i="18"/>
  <c r="H239" i="18"/>
  <c r="H246" i="28" l="1"/>
  <c r="M245" i="28"/>
  <c r="K246" i="28"/>
  <c r="L245" i="28"/>
  <c r="N245" i="28"/>
  <c r="P245" i="28"/>
  <c r="I243" i="27"/>
  <c r="J243" i="27" s="1"/>
  <c r="N243" i="27"/>
  <c r="P243" i="27"/>
  <c r="H244" i="27"/>
  <c r="M243" i="27"/>
  <c r="L243" i="27"/>
  <c r="K244" i="27"/>
  <c r="J243" i="26"/>
  <c r="L243" i="26"/>
  <c r="H244" i="26"/>
  <c r="P244" i="26" s="1"/>
  <c r="K244" i="26"/>
  <c r="M243" i="26"/>
  <c r="N243" i="26"/>
  <c r="K239" i="18"/>
  <c r="I240" i="18"/>
  <c r="N239" i="18"/>
  <c r="L239" i="18"/>
  <c r="J239" i="18"/>
  <c r="H240" i="18"/>
  <c r="H247" i="28" l="1"/>
  <c r="M246" i="28"/>
  <c r="L246" i="28"/>
  <c r="N246" i="28"/>
  <c r="P246" i="28"/>
  <c r="K247" i="28"/>
  <c r="I244" i="27"/>
  <c r="J244" i="27" s="1"/>
  <c r="P244" i="27"/>
  <c r="H245" i="27"/>
  <c r="N244" i="27"/>
  <c r="K245" i="27"/>
  <c r="L244" i="27"/>
  <c r="M244" i="27"/>
  <c r="J244" i="26"/>
  <c r="N244" i="26"/>
  <c r="K245" i="26"/>
  <c r="L244" i="26"/>
  <c r="H245" i="26"/>
  <c r="P245" i="26" s="1"/>
  <c r="M244" i="26"/>
  <c r="I241" i="18"/>
  <c r="K240" i="18"/>
  <c r="N240" i="18"/>
  <c r="J240" i="18"/>
  <c r="L240" i="18"/>
  <c r="H241" i="18"/>
  <c r="H248" i="28" l="1"/>
  <c r="M247" i="28"/>
  <c r="K248" i="28"/>
  <c r="L247" i="28"/>
  <c r="P247" i="28"/>
  <c r="N247" i="28"/>
  <c r="I245" i="27"/>
  <c r="J245" i="27" s="1"/>
  <c r="H246" i="27"/>
  <c r="K246" i="27"/>
  <c r="P245" i="27"/>
  <c r="N245" i="27"/>
  <c r="L245" i="27"/>
  <c r="M245" i="27"/>
  <c r="J245" i="26"/>
  <c r="H246" i="26"/>
  <c r="P246" i="26" s="1"/>
  <c r="L245" i="26"/>
  <c r="N245" i="26"/>
  <c r="M245" i="26"/>
  <c r="K246" i="26"/>
  <c r="I242" i="18"/>
  <c r="K241" i="18"/>
  <c r="N241" i="18"/>
  <c r="J241" i="18"/>
  <c r="L241" i="18"/>
  <c r="H242" i="18"/>
  <c r="H249" i="28" l="1"/>
  <c r="M248" i="28"/>
  <c r="L248" i="28"/>
  <c r="N248" i="28"/>
  <c r="P248" i="28"/>
  <c r="K249" i="28"/>
  <c r="I246" i="27"/>
  <c r="J246" i="27" s="1"/>
  <c r="K247" i="27"/>
  <c r="H247" i="27"/>
  <c r="M246" i="27"/>
  <c r="N246" i="27"/>
  <c r="L246" i="27"/>
  <c r="P246" i="27"/>
  <c r="J246" i="26"/>
  <c r="M246" i="26"/>
  <c r="N246" i="26"/>
  <c r="H247" i="26"/>
  <c r="P247" i="26" s="1"/>
  <c r="K247" i="26"/>
  <c r="L246" i="26"/>
  <c r="I243" i="18"/>
  <c r="K242" i="18"/>
  <c r="N242" i="18"/>
  <c r="J242" i="18"/>
  <c r="L242" i="18"/>
  <c r="H243" i="18"/>
  <c r="H250" i="28" l="1"/>
  <c r="M249" i="28"/>
  <c r="K250" i="28"/>
  <c r="L249" i="28"/>
  <c r="N249" i="28"/>
  <c r="P249" i="28"/>
  <c r="I247" i="27"/>
  <c r="J247" i="27" s="1"/>
  <c r="K248" i="27"/>
  <c r="L247" i="27"/>
  <c r="M247" i="27"/>
  <c r="N247" i="27"/>
  <c r="P247" i="27"/>
  <c r="H248" i="27"/>
  <c r="J247" i="26"/>
  <c r="L247" i="26"/>
  <c r="H248" i="26"/>
  <c r="P248" i="26" s="1"/>
  <c r="N247" i="26"/>
  <c r="K248" i="26"/>
  <c r="M247" i="26"/>
  <c r="I244" i="18"/>
  <c r="K243" i="18"/>
  <c r="J243" i="18"/>
  <c r="L243" i="18"/>
  <c r="N243" i="18"/>
  <c r="H244" i="18"/>
  <c r="H251" i="28" l="1"/>
  <c r="M250" i="28"/>
  <c r="L250" i="28"/>
  <c r="N250" i="28"/>
  <c r="P250" i="28"/>
  <c r="K251" i="28"/>
  <c r="I248" i="27"/>
  <c r="J248" i="27" s="1"/>
  <c r="L248" i="27"/>
  <c r="M248" i="27"/>
  <c r="K249" i="27"/>
  <c r="P248" i="27"/>
  <c r="H249" i="27"/>
  <c r="N248" i="27"/>
  <c r="J248" i="26"/>
  <c r="N248" i="26"/>
  <c r="K249" i="26"/>
  <c r="L248" i="26"/>
  <c r="M248" i="26"/>
  <c r="H249" i="26"/>
  <c r="P249" i="26" s="1"/>
  <c r="I245" i="18"/>
  <c r="K244" i="18"/>
  <c r="J244" i="18"/>
  <c r="L244" i="18"/>
  <c r="N244" i="18"/>
  <c r="H245" i="18"/>
  <c r="H252" i="28" l="1"/>
  <c r="M251" i="28"/>
  <c r="K252" i="28"/>
  <c r="L251" i="28"/>
  <c r="P251" i="28"/>
  <c r="N251" i="28"/>
  <c r="I249" i="27"/>
  <c r="J249" i="27" s="1"/>
  <c r="L249" i="27"/>
  <c r="M249" i="27"/>
  <c r="N249" i="27"/>
  <c r="P249" i="27"/>
  <c r="K250" i="27"/>
  <c r="H250" i="27"/>
  <c r="J249" i="26"/>
  <c r="H250" i="26"/>
  <c r="P250" i="26" s="1"/>
  <c r="L249" i="26"/>
  <c r="N249" i="26"/>
  <c r="M249" i="26"/>
  <c r="K250" i="26"/>
  <c r="I246" i="18"/>
  <c r="K245" i="18"/>
  <c r="L245" i="18"/>
  <c r="N245" i="18"/>
  <c r="J245" i="18"/>
  <c r="H246" i="18"/>
  <c r="H253" i="28" l="1"/>
  <c r="M252" i="28"/>
  <c r="L252" i="28"/>
  <c r="N252" i="28"/>
  <c r="P252" i="28"/>
  <c r="K253" i="28"/>
  <c r="I250" i="27"/>
  <c r="J250" i="27" s="1"/>
  <c r="M250" i="27"/>
  <c r="N250" i="27"/>
  <c r="P250" i="27"/>
  <c r="L250" i="27"/>
  <c r="K251" i="27"/>
  <c r="H251" i="27"/>
  <c r="J250" i="26"/>
  <c r="M250" i="26"/>
  <c r="N250" i="26"/>
  <c r="H251" i="26"/>
  <c r="P251" i="26" s="1"/>
  <c r="L250" i="26"/>
  <c r="K251" i="26"/>
  <c r="I247" i="18"/>
  <c r="K246" i="18"/>
  <c r="J246" i="18"/>
  <c r="L246" i="18"/>
  <c r="N246" i="18"/>
  <c r="H247" i="18"/>
  <c r="H254" i="28" l="1"/>
  <c r="M253" i="28"/>
  <c r="K254" i="28"/>
  <c r="L253" i="28"/>
  <c r="N253" i="28"/>
  <c r="P253" i="28"/>
  <c r="I251" i="27"/>
  <c r="J251" i="27" s="1"/>
  <c r="N251" i="27"/>
  <c r="P251" i="27"/>
  <c r="H252" i="27"/>
  <c r="M251" i="27"/>
  <c r="K252" i="27"/>
  <c r="L251" i="27"/>
  <c r="J251" i="26"/>
  <c r="L251" i="26"/>
  <c r="H252" i="26"/>
  <c r="P252" i="26" s="1"/>
  <c r="K252" i="26"/>
  <c r="M251" i="26"/>
  <c r="N251" i="26"/>
  <c r="K247" i="18"/>
  <c r="I248" i="18"/>
  <c r="N247" i="18"/>
  <c r="J247" i="18"/>
  <c r="L247" i="18"/>
  <c r="H248" i="18"/>
  <c r="H255" i="28" l="1"/>
  <c r="M254" i="28"/>
  <c r="N254" i="28"/>
  <c r="L254" i="28"/>
  <c r="P254" i="28"/>
  <c r="K255" i="28"/>
  <c r="I252" i="27"/>
  <c r="J252" i="27" s="1"/>
  <c r="P252" i="27"/>
  <c r="H253" i="27"/>
  <c r="N252" i="27"/>
  <c r="L252" i="27"/>
  <c r="M252" i="27"/>
  <c r="K253" i="27"/>
  <c r="J252" i="26"/>
  <c r="N252" i="26"/>
  <c r="K253" i="26"/>
  <c r="L252" i="26"/>
  <c r="H253" i="26"/>
  <c r="P253" i="26" s="1"/>
  <c r="M252" i="26"/>
  <c r="K248" i="18"/>
  <c r="I249" i="18"/>
  <c r="N248" i="18"/>
  <c r="J248" i="18"/>
  <c r="L248" i="18"/>
  <c r="H249" i="18"/>
  <c r="H256" i="28" l="1"/>
  <c r="M255" i="28"/>
  <c r="K256" i="28"/>
  <c r="L255" i="28"/>
  <c r="P255" i="28"/>
  <c r="N255" i="28"/>
  <c r="I253" i="27"/>
  <c r="J253" i="27" s="1"/>
  <c r="H254" i="27"/>
  <c r="K254" i="27"/>
  <c r="P253" i="27"/>
  <c r="L253" i="27"/>
  <c r="M253" i="27"/>
  <c r="N253" i="27"/>
  <c r="J253" i="26"/>
  <c r="H254" i="26"/>
  <c r="P254" i="26" s="1"/>
  <c r="L253" i="26"/>
  <c r="N253" i="26"/>
  <c r="M253" i="26"/>
  <c r="K254" i="26"/>
  <c r="K249" i="18"/>
  <c r="I250" i="18"/>
  <c r="L249" i="18"/>
  <c r="N249" i="18"/>
  <c r="J249" i="18"/>
  <c r="H250" i="18"/>
  <c r="H257" i="28" l="1"/>
  <c r="M256" i="28"/>
  <c r="L256" i="28"/>
  <c r="N256" i="28"/>
  <c r="P256" i="28"/>
  <c r="K257" i="28"/>
  <c r="I254" i="27"/>
  <c r="J254" i="27" s="1"/>
  <c r="K255" i="27"/>
  <c r="H255" i="27"/>
  <c r="L254" i="27"/>
  <c r="P254" i="27"/>
  <c r="M254" i="27"/>
  <c r="N254" i="27"/>
  <c r="J254" i="26"/>
  <c r="M254" i="26"/>
  <c r="N254" i="26"/>
  <c r="H255" i="26"/>
  <c r="P255" i="26" s="1"/>
  <c r="L254" i="26"/>
  <c r="K255" i="26"/>
  <c r="K250" i="18"/>
  <c r="I251" i="18"/>
  <c r="N250" i="18"/>
  <c r="J250" i="18"/>
  <c r="L250" i="18"/>
  <c r="H251" i="18"/>
  <c r="H258" i="28" l="1"/>
  <c r="M257" i="28"/>
  <c r="K258" i="28"/>
  <c r="L257" i="28"/>
  <c r="N257" i="28"/>
  <c r="P257" i="28"/>
  <c r="I255" i="27"/>
  <c r="J255" i="27" s="1"/>
  <c r="K256" i="27"/>
  <c r="L255" i="27"/>
  <c r="N255" i="27"/>
  <c r="P255" i="27"/>
  <c r="M255" i="27"/>
  <c r="H256" i="27"/>
  <c r="J255" i="26"/>
  <c r="L255" i="26"/>
  <c r="H256" i="26"/>
  <c r="P256" i="26" s="1"/>
  <c r="N255" i="26"/>
  <c r="K256" i="26"/>
  <c r="M255" i="26"/>
  <c r="K251" i="18"/>
  <c r="I252" i="18"/>
  <c r="J251" i="18"/>
  <c r="L251" i="18"/>
  <c r="N251" i="18"/>
  <c r="H252" i="18"/>
  <c r="H259" i="28" l="1"/>
  <c r="M258" i="28"/>
  <c r="L258" i="28"/>
  <c r="N258" i="28"/>
  <c r="P258" i="28"/>
  <c r="K259" i="28"/>
  <c r="I256" i="27"/>
  <c r="J256" i="27" s="1"/>
  <c r="L256" i="27"/>
  <c r="M256" i="27"/>
  <c r="K257" i="27"/>
  <c r="N256" i="27"/>
  <c r="P256" i="27"/>
  <c r="H257" i="27"/>
  <c r="J256" i="26"/>
  <c r="N256" i="26"/>
  <c r="K257" i="26"/>
  <c r="L256" i="26"/>
  <c r="M256" i="26"/>
  <c r="H257" i="26"/>
  <c r="P257" i="26" s="1"/>
  <c r="I253" i="18"/>
  <c r="K252" i="18"/>
  <c r="J252" i="18"/>
  <c r="L252" i="18"/>
  <c r="N252" i="18"/>
  <c r="H253" i="18"/>
  <c r="H260" i="28" l="1"/>
  <c r="M259" i="28"/>
  <c r="K260" i="28"/>
  <c r="L259" i="28"/>
  <c r="P259" i="28"/>
  <c r="N259" i="28"/>
  <c r="I257" i="27"/>
  <c r="J257" i="27" s="1"/>
  <c r="L257" i="27"/>
  <c r="M257" i="27"/>
  <c r="N257" i="27"/>
  <c r="H258" i="27"/>
  <c r="P257" i="27"/>
  <c r="K258" i="27"/>
  <c r="J257" i="26"/>
  <c r="H258" i="26"/>
  <c r="P258" i="26" s="1"/>
  <c r="L257" i="26"/>
  <c r="N257" i="26"/>
  <c r="M257" i="26"/>
  <c r="K258" i="26"/>
  <c r="I254" i="18"/>
  <c r="K253" i="18"/>
  <c r="L253" i="18"/>
  <c r="J253" i="18"/>
  <c r="N253" i="18"/>
  <c r="H254" i="18"/>
  <c r="H261" i="28" l="1"/>
  <c r="M260" i="28"/>
  <c r="L260" i="28"/>
  <c r="N260" i="28"/>
  <c r="P260" i="28"/>
  <c r="K261" i="28"/>
  <c r="I258" i="27"/>
  <c r="J258" i="27" s="1"/>
  <c r="M258" i="27"/>
  <c r="N258" i="27"/>
  <c r="P258" i="27"/>
  <c r="L258" i="27"/>
  <c r="H259" i="27"/>
  <c r="K259" i="27"/>
  <c r="J258" i="26"/>
  <c r="M258" i="26"/>
  <c r="N258" i="26"/>
  <c r="H259" i="26"/>
  <c r="P259" i="26" s="1"/>
  <c r="L258" i="26"/>
  <c r="K259" i="26"/>
  <c r="I255" i="18"/>
  <c r="K254" i="18"/>
  <c r="N254" i="18"/>
  <c r="J254" i="18"/>
  <c r="L254" i="18"/>
  <c r="H255" i="18"/>
  <c r="H262" i="28" l="1"/>
  <c r="M261" i="28"/>
  <c r="K262" i="28"/>
  <c r="L261" i="28"/>
  <c r="N261" i="28"/>
  <c r="P261" i="28"/>
  <c r="I259" i="27"/>
  <c r="J259" i="27" s="1"/>
  <c r="N259" i="27"/>
  <c r="P259" i="27"/>
  <c r="H260" i="27"/>
  <c r="M259" i="27"/>
  <c r="L259" i="27"/>
  <c r="K260" i="27"/>
  <c r="J259" i="26"/>
  <c r="L259" i="26"/>
  <c r="H260" i="26"/>
  <c r="P260" i="26" s="1"/>
  <c r="K260" i="26"/>
  <c r="M259" i="26"/>
  <c r="N259" i="26"/>
  <c r="K255" i="18"/>
  <c r="I256" i="18"/>
  <c r="N255" i="18"/>
  <c r="J255" i="18"/>
  <c r="L255" i="18"/>
  <c r="H256" i="18"/>
  <c r="H263" i="28" l="1"/>
  <c r="M262" i="28"/>
  <c r="L262" i="28"/>
  <c r="N262" i="28"/>
  <c r="P262" i="28"/>
  <c r="K263" i="28"/>
  <c r="I260" i="27"/>
  <c r="J260" i="27" s="1"/>
  <c r="P260" i="27"/>
  <c r="H261" i="27"/>
  <c r="N260" i="27"/>
  <c r="K261" i="27"/>
  <c r="L260" i="27"/>
  <c r="M260" i="27"/>
  <c r="J260" i="26"/>
  <c r="N260" i="26"/>
  <c r="K261" i="26"/>
  <c r="L260" i="26"/>
  <c r="H261" i="26"/>
  <c r="P261" i="26" s="1"/>
  <c r="M260" i="26"/>
  <c r="I257" i="18"/>
  <c r="K256" i="18"/>
  <c r="N256" i="18"/>
  <c r="J256" i="18"/>
  <c r="L256" i="18"/>
  <c r="H257" i="18"/>
  <c r="H264" i="28" l="1"/>
  <c r="M263" i="28"/>
  <c r="K264" i="28"/>
  <c r="L263" i="28"/>
  <c r="P263" i="28"/>
  <c r="N263" i="28"/>
  <c r="I261" i="27"/>
  <c r="J261" i="27" s="1"/>
  <c r="H262" i="27"/>
  <c r="K262" i="27"/>
  <c r="P261" i="27"/>
  <c r="L261" i="27"/>
  <c r="M261" i="27"/>
  <c r="N261" i="27"/>
  <c r="J261" i="26"/>
  <c r="H262" i="26"/>
  <c r="P262" i="26" s="1"/>
  <c r="L261" i="26"/>
  <c r="N261" i="26"/>
  <c r="M261" i="26"/>
  <c r="K262" i="26"/>
  <c r="K257" i="18"/>
  <c r="I258" i="18"/>
  <c r="J257" i="18"/>
  <c r="L257" i="18"/>
  <c r="N257" i="18"/>
  <c r="H258" i="18"/>
  <c r="H265" i="28" l="1"/>
  <c r="M264" i="28"/>
  <c r="L264" i="28"/>
  <c r="N264" i="28"/>
  <c r="P264" i="28"/>
  <c r="K265" i="28"/>
  <c r="I262" i="27"/>
  <c r="J262" i="27" s="1"/>
  <c r="K263" i="27"/>
  <c r="H263" i="27"/>
  <c r="M262" i="27"/>
  <c r="N262" i="27"/>
  <c r="L262" i="27"/>
  <c r="P262" i="27"/>
  <c r="J262" i="26"/>
  <c r="M262" i="26"/>
  <c r="N262" i="26"/>
  <c r="H263" i="26"/>
  <c r="P263" i="26" s="1"/>
  <c r="K263" i="26"/>
  <c r="L262" i="26"/>
  <c r="K258" i="18"/>
  <c r="I259" i="18"/>
  <c r="J258" i="18"/>
  <c r="N258" i="18"/>
  <c r="L258" i="18"/>
  <c r="H259" i="18"/>
  <c r="H266" i="28" l="1"/>
  <c r="M265" i="28"/>
  <c r="K266" i="28"/>
  <c r="L265" i="28"/>
  <c r="N265" i="28"/>
  <c r="P265" i="28"/>
  <c r="I263" i="27"/>
  <c r="J263" i="27" s="1"/>
  <c r="K264" i="27"/>
  <c r="L263" i="27"/>
  <c r="M263" i="27"/>
  <c r="H264" i="27"/>
  <c r="N263" i="27"/>
  <c r="P263" i="27"/>
  <c r="J263" i="26"/>
  <c r="L263" i="26"/>
  <c r="H264" i="26"/>
  <c r="P264" i="26" s="1"/>
  <c r="N263" i="26"/>
  <c r="K264" i="26"/>
  <c r="M263" i="26"/>
  <c r="K259" i="18"/>
  <c r="I260" i="18"/>
  <c r="J259" i="18"/>
  <c r="L259" i="18"/>
  <c r="N259" i="18"/>
  <c r="H260" i="18"/>
  <c r="H267" i="28" l="1"/>
  <c r="M266" i="28"/>
  <c r="L266" i="28"/>
  <c r="N266" i="28"/>
  <c r="P266" i="28"/>
  <c r="K267" i="28"/>
  <c r="I264" i="27"/>
  <c r="J264" i="27" s="1"/>
  <c r="L264" i="27"/>
  <c r="M264" i="27"/>
  <c r="K265" i="27"/>
  <c r="P264" i="27"/>
  <c r="H265" i="27"/>
  <c r="N264" i="27"/>
  <c r="J264" i="26"/>
  <c r="N264" i="26"/>
  <c r="K265" i="26"/>
  <c r="L264" i="26"/>
  <c r="M264" i="26"/>
  <c r="H265" i="26"/>
  <c r="P265" i="26" s="1"/>
  <c r="I261" i="18"/>
  <c r="K260" i="18"/>
  <c r="J260" i="18"/>
  <c r="L260" i="18"/>
  <c r="N260" i="18"/>
  <c r="H261" i="18"/>
  <c r="H268" i="28" l="1"/>
  <c r="M267" i="28"/>
  <c r="K268" i="28"/>
  <c r="L267" i="28"/>
  <c r="P267" i="28"/>
  <c r="N267" i="28"/>
  <c r="I265" i="27"/>
  <c r="J265" i="27" s="1"/>
  <c r="L265" i="27"/>
  <c r="M265" i="27"/>
  <c r="N265" i="27"/>
  <c r="P265" i="27"/>
  <c r="H266" i="27"/>
  <c r="K266" i="27"/>
  <c r="J265" i="26"/>
  <c r="H266" i="26"/>
  <c r="P266" i="26" s="1"/>
  <c r="L265" i="26"/>
  <c r="N265" i="26"/>
  <c r="M265" i="26"/>
  <c r="K266" i="26"/>
  <c r="I262" i="18"/>
  <c r="K261" i="18"/>
  <c r="L261" i="18"/>
  <c r="N261" i="18"/>
  <c r="J261" i="18"/>
  <c r="H262" i="18"/>
  <c r="H269" i="28" l="1"/>
  <c r="M268" i="28"/>
  <c r="L268" i="28"/>
  <c r="N268" i="28"/>
  <c r="P268" i="28"/>
  <c r="K269" i="28"/>
  <c r="I266" i="27"/>
  <c r="J266" i="27" s="1"/>
  <c r="M266" i="27"/>
  <c r="N266" i="27"/>
  <c r="P266" i="27"/>
  <c r="L266" i="27"/>
  <c r="K267" i="27"/>
  <c r="H267" i="27"/>
  <c r="J266" i="26"/>
  <c r="M266" i="26"/>
  <c r="N266" i="26"/>
  <c r="H267" i="26"/>
  <c r="P267" i="26" s="1"/>
  <c r="L266" i="26"/>
  <c r="K267" i="26"/>
  <c r="I263" i="18"/>
  <c r="K262" i="18"/>
  <c r="N262" i="18"/>
  <c r="J262" i="18"/>
  <c r="L262" i="18"/>
  <c r="H263" i="18"/>
  <c r="H270" i="28" l="1"/>
  <c r="M269" i="28"/>
  <c r="K270" i="28"/>
  <c r="L269" i="28"/>
  <c r="N269" i="28"/>
  <c r="P269" i="28"/>
  <c r="I267" i="27"/>
  <c r="J267" i="27" s="1"/>
  <c r="N267" i="27"/>
  <c r="P267" i="27"/>
  <c r="H268" i="27"/>
  <c r="M267" i="27"/>
  <c r="K268" i="27"/>
  <c r="L267" i="27"/>
  <c r="J267" i="26"/>
  <c r="L267" i="26"/>
  <c r="H268" i="26"/>
  <c r="P268" i="26" s="1"/>
  <c r="K268" i="26"/>
  <c r="M267" i="26"/>
  <c r="N267" i="26"/>
  <c r="K263" i="18"/>
  <c r="I264" i="18"/>
  <c r="N263" i="18"/>
  <c r="L263" i="18"/>
  <c r="J263" i="18"/>
  <c r="H264" i="18"/>
  <c r="H271" i="28" l="1"/>
  <c r="M270" i="28"/>
  <c r="L270" i="28"/>
  <c r="N270" i="28"/>
  <c r="P270" i="28"/>
  <c r="K271" i="28"/>
  <c r="I268" i="27"/>
  <c r="J268" i="27" s="1"/>
  <c r="P268" i="27"/>
  <c r="H269" i="27"/>
  <c r="N268" i="27"/>
  <c r="M268" i="27"/>
  <c r="L268" i="27"/>
  <c r="K269" i="27"/>
  <c r="J268" i="26"/>
  <c r="N268" i="26"/>
  <c r="K269" i="26"/>
  <c r="L268" i="26"/>
  <c r="H269" i="26"/>
  <c r="P269" i="26" s="1"/>
  <c r="M268" i="26"/>
  <c r="I265" i="18"/>
  <c r="K264" i="18"/>
  <c r="N264" i="18"/>
  <c r="L264" i="18"/>
  <c r="J264" i="18"/>
  <c r="H265" i="18"/>
  <c r="H272" i="28" l="1"/>
  <c r="M271" i="28"/>
  <c r="K272" i="28"/>
  <c r="L271" i="28"/>
  <c r="P271" i="28"/>
  <c r="N271" i="28"/>
  <c r="I269" i="27"/>
  <c r="J269" i="27" s="1"/>
  <c r="H270" i="27"/>
  <c r="K270" i="27"/>
  <c r="P269" i="27"/>
  <c r="L269" i="27"/>
  <c r="M269" i="27"/>
  <c r="N269" i="27"/>
  <c r="J269" i="26"/>
  <c r="H270" i="26"/>
  <c r="P270" i="26" s="1"/>
  <c r="L269" i="26"/>
  <c r="N269" i="26"/>
  <c r="M269" i="26"/>
  <c r="K270" i="26"/>
  <c r="I266" i="18"/>
  <c r="K265" i="18"/>
  <c r="J265" i="18"/>
  <c r="L265" i="18"/>
  <c r="N265" i="18"/>
  <c r="H266" i="18"/>
  <c r="H273" i="28" l="1"/>
  <c r="M272" i="28"/>
  <c r="L272" i="28"/>
  <c r="N272" i="28"/>
  <c r="P272" i="28"/>
  <c r="K273" i="28"/>
  <c r="I270" i="27"/>
  <c r="J270" i="27" s="1"/>
  <c r="K271" i="27"/>
  <c r="H271" i="27"/>
  <c r="L270" i="27"/>
  <c r="M270" i="27"/>
  <c r="N270" i="27"/>
  <c r="P270" i="27"/>
  <c r="J270" i="26"/>
  <c r="M270" i="26"/>
  <c r="N270" i="26"/>
  <c r="H271" i="26"/>
  <c r="P271" i="26" s="1"/>
  <c r="K271" i="26"/>
  <c r="L270" i="26"/>
  <c r="K266" i="18"/>
  <c r="I267" i="18"/>
  <c r="J266" i="18"/>
  <c r="L266" i="18"/>
  <c r="N266" i="18"/>
  <c r="H267" i="18"/>
  <c r="H274" i="28" l="1"/>
  <c r="M273" i="28"/>
  <c r="K274" i="28"/>
  <c r="L273" i="28"/>
  <c r="N273" i="28"/>
  <c r="P273" i="28"/>
  <c r="I271" i="27"/>
  <c r="J271" i="27" s="1"/>
  <c r="K272" i="27"/>
  <c r="L271" i="27"/>
  <c r="N271" i="27"/>
  <c r="P271" i="27"/>
  <c r="M271" i="27"/>
  <c r="H272" i="27"/>
  <c r="J271" i="26"/>
  <c r="L271" i="26"/>
  <c r="H272" i="26"/>
  <c r="P272" i="26" s="1"/>
  <c r="N271" i="26"/>
  <c r="K272" i="26"/>
  <c r="M271" i="26"/>
  <c r="K267" i="18"/>
  <c r="I268" i="18"/>
  <c r="J267" i="18"/>
  <c r="L267" i="18"/>
  <c r="N267" i="18"/>
  <c r="H268" i="18"/>
  <c r="H275" i="28" l="1"/>
  <c r="M274" i="28"/>
  <c r="L274" i="28"/>
  <c r="N274" i="28"/>
  <c r="P274" i="28"/>
  <c r="K275" i="28"/>
  <c r="I272" i="27"/>
  <c r="J272" i="27" s="1"/>
  <c r="L272" i="27"/>
  <c r="M272" i="27"/>
  <c r="K273" i="27"/>
  <c r="N272" i="27"/>
  <c r="P272" i="27"/>
  <c r="H273" i="27"/>
  <c r="J272" i="26"/>
  <c r="N272" i="26"/>
  <c r="K273" i="26"/>
  <c r="L272" i="26"/>
  <c r="M272" i="26"/>
  <c r="H273" i="26"/>
  <c r="P273" i="26" s="1"/>
  <c r="I269" i="18"/>
  <c r="K268" i="18"/>
  <c r="J268" i="18"/>
  <c r="L268" i="18"/>
  <c r="N268" i="18"/>
  <c r="H269" i="18"/>
  <c r="H276" i="28" l="1"/>
  <c r="M275" i="28"/>
  <c r="K276" i="28"/>
  <c r="L275" i="28"/>
  <c r="P275" i="28"/>
  <c r="N275" i="28"/>
  <c r="I273" i="27"/>
  <c r="J273" i="27" s="1"/>
  <c r="L273" i="27"/>
  <c r="M273" i="27"/>
  <c r="N273" i="27"/>
  <c r="H274" i="27"/>
  <c r="P273" i="27"/>
  <c r="K274" i="27"/>
  <c r="J273" i="26"/>
  <c r="H274" i="26"/>
  <c r="P274" i="26" s="1"/>
  <c r="L273" i="26"/>
  <c r="N273" i="26"/>
  <c r="M273" i="26"/>
  <c r="K274" i="26"/>
  <c r="I270" i="18"/>
  <c r="K269" i="18"/>
  <c r="L269" i="18"/>
  <c r="J269" i="18"/>
  <c r="N269" i="18"/>
  <c r="H270" i="18"/>
  <c r="H277" i="28" l="1"/>
  <c r="M276" i="28"/>
  <c r="L276" i="28"/>
  <c r="N276" i="28"/>
  <c r="P276" i="28"/>
  <c r="K277" i="28"/>
  <c r="I274" i="27"/>
  <c r="J274" i="27" s="1"/>
  <c r="M274" i="27"/>
  <c r="N274" i="27"/>
  <c r="P274" i="27"/>
  <c r="L274" i="27"/>
  <c r="H275" i="27"/>
  <c r="K275" i="27"/>
  <c r="J274" i="26"/>
  <c r="M274" i="26"/>
  <c r="N274" i="26"/>
  <c r="H275" i="26"/>
  <c r="P275" i="26" s="1"/>
  <c r="L274" i="26"/>
  <c r="K275" i="26"/>
  <c r="I271" i="18"/>
  <c r="K270" i="18"/>
  <c r="J270" i="18"/>
  <c r="L270" i="18"/>
  <c r="N270" i="18"/>
  <c r="H271" i="18"/>
  <c r="H278" i="28" l="1"/>
  <c r="M277" i="28"/>
  <c r="K278" i="28"/>
  <c r="L277" i="28"/>
  <c r="N277" i="28"/>
  <c r="P277" i="28"/>
  <c r="I275" i="27"/>
  <c r="J275" i="27" s="1"/>
  <c r="N275" i="27"/>
  <c r="P275" i="27"/>
  <c r="H276" i="27"/>
  <c r="M275" i="27"/>
  <c r="L275" i="27"/>
  <c r="K276" i="27"/>
  <c r="J275" i="26"/>
  <c r="L275" i="26"/>
  <c r="H276" i="26"/>
  <c r="P276" i="26" s="1"/>
  <c r="K276" i="26"/>
  <c r="M275" i="26"/>
  <c r="N275" i="26"/>
  <c r="K271" i="18"/>
  <c r="I272" i="18"/>
  <c r="N271" i="18"/>
  <c r="L271" i="18"/>
  <c r="J271" i="18"/>
  <c r="H272" i="18"/>
  <c r="H279" i="28" l="1"/>
  <c r="M278" i="28"/>
  <c r="L278" i="28"/>
  <c r="N278" i="28"/>
  <c r="P278" i="28"/>
  <c r="K279" i="28"/>
  <c r="I276" i="27"/>
  <c r="J276" i="27" s="1"/>
  <c r="P276" i="27"/>
  <c r="H277" i="27"/>
  <c r="N276" i="27"/>
  <c r="K277" i="27"/>
  <c r="L276" i="27"/>
  <c r="M276" i="27"/>
  <c r="J276" i="26"/>
  <c r="N276" i="26"/>
  <c r="K277" i="26"/>
  <c r="L276" i="26"/>
  <c r="H277" i="26"/>
  <c r="P277" i="26" s="1"/>
  <c r="M276" i="26"/>
  <c r="I273" i="18"/>
  <c r="K272" i="18"/>
  <c r="N272" i="18"/>
  <c r="L272" i="18"/>
  <c r="J272" i="18"/>
  <c r="H273" i="18"/>
  <c r="H280" i="28" l="1"/>
  <c r="M279" i="28"/>
  <c r="K280" i="28"/>
  <c r="L279" i="28"/>
  <c r="N279" i="28"/>
  <c r="P279" i="28"/>
  <c r="I277" i="27"/>
  <c r="J277" i="27" s="1"/>
  <c r="H278" i="27"/>
  <c r="K278" i="27"/>
  <c r="P277" i="27"/>
  <c r="N277" i="27"/>
  <c r="L277" i="27"/>
  <c r="M277" i="27"/>
  <c r="J277" i="26"/>
  <c r="H278" i="26"/>
  <c r="P278" i="26" s="1"/>
  <c r="L277" i="26"/>
  <c r="N277" i="26"/>
  <c r="M277" i="26"/>
  <c r="K278" i="26"/>
  <c r="K273" i="18"/>
  <c r="I274" i="18"/>
  <c r="J273" i="18"/>
  <c r="N273" i="18"/>
  <c r="L273" i="18"/>
  <c r="H274" i="18"/>
  <c r="H281" i="28" l="1"/>
  <c r="M280" i="28"/>
  <c r="L280" i="28"/>
  <c r="N280" i="28"/>
  <c r="P280" i="28"/>
  <c r="K281" i="28"/>
  <c r="I278" i="27"/>
  <c r="J278" i="27" s="1"/>
  <c r="K279" i="27"/>
  <c r="H279" i="27"/>
  <c r="M278" i="27"/>
  <c r="N278" i="27"/>
  <c r="L278" i="27"/>
  <c r="P278" i="27"/>
  <c r="J278" i="26"/>
  <c r="M278" i="26"/>
  <c r="N278" i="26"/>
  <c r="H279" i="26"/>
  <c r="P279" i="26" s="1"/>
  <c r="K279" i="26"/>
  <c r="L278" i="26"/>
  <c r="I275" i="18"/>
  <c r="K274" i="18"/>
  <c r="N274" i="18"/>
  <c r="J274" i="18"/>
  <c r="L274" i="18"/>
  <c r="H275" i="18"/>
  <c r="H282" i="28" l="1"/>
  <c r="M281" i="28"/>
  <c r="K282" i="28"/>
  <c r="L281" i="28"/>
  <c r="N281" i="28"/>
  <c r="P281" i="28"/>
  <c r="I279" i="27"/>
  <c r="J279" i="27" s="1"/>
  <c r="K280" i="27"/>
  <c r="L279" i="27"/>
  <c r="M279" i="27"/>
  <c r="N279" i="27"/>
  <c r="P279" i="27"/>
  <c r="H280" i="27"/>
  <c r="J279" i="26"/>
  <c r="L279" i="26"/>
  <c r="H280" i="26"/>
  <c r="P280" i="26" s="1"/>
  <c r="N279" i="26"/>
  <c r="K280" i="26"/>
  <c r="M279" i="26"/>
  <c r="I276" i="18"/>
  <c r="K275" i="18"/>
  <c r="J275" i="18"/>
  <c r="L275" i="18"/>
  <c r="N275" i="18"/>
  <c r="H276" i="18"/>
  <c r="H283" i="28" l="1"/>
  <c r="M282" i="28"/>
  <c r="L282" i="28"/>
  <c r="N282" i="28"/>
  <c r="P282" i="28"/>
  <c r="K283" i="28"/>
  <c r="I280" i="27"/>
  <c r="J280" i="27" s="1"/>
  <c r="L280" i="27"/>
  <c r="M280" i="27"/>
  <c r="K281" i="27"/>
  <c r="P280" i="27"/>
  <c r="H281" i="27"/>
  <c r="N280" i="27"/>
  <c r="J280" i="26"/>
  <c r="N280" i="26"/>
  <c r="K281" i="26"/>
  <c r="L280" i="26"/>
  <c r="M280" i="26"/>
  <c r="H281" i="26"/>
  <c r="P281" i="26" s="1"/>
  <c r="I277" i="18"/>
  <c r="K276" i="18"/>
  <c r="J276" i="18"/>
  <c r="L276" i="18"/>
  <c r="N276" i="18"/>
  <c r="H277" i="18"/>
  <c r="H284" i="28" l="1"/>
  <c r="M283" i="28"/>
  <c r="K284" i="28"/>
  <c r="L283" i="28"/>
  <c r="P283" i="28"/>
  <c r="N283" i="28"/>
  <c r="I281" i="27"/>
  <c r="J281" i="27" s="1"/>
  <c r="L281" i="27"/>
  <c r="M281" i="27"/>
  <c r="N281" i="27"/>
  <c r="P281" i="27"/>
  <c r="H282" i="27"/>
  <c r="K282" i="27"/>
  <c r="J281" i="26"/>
  <c r="H282" i="26"/>
  <c r="P282" i="26" s="1"/>
  <c r="L281" i="26"/>
  <c r="N281" i="26"/>
  <c r="K282" i="26"/>
  <c r="M281" i="26"/>
  <c r="I278" i="18"/>
  <c r="K277" i="18"/>
  <c r="L277" i="18"/>
  <c r="N277" i="18"/>
  <c r="J277" i="18"/>
  <c r="H278" i="18"/>
  <c r="H285" i="28" l="1"/>
  <c r="M284" i="28"/>
  <c r="L284" i="28"/>
  <c r="N284" i="28"/>
  <c r="P284" i="28"/>
  <c r="K285" i="28"/>
  <c r="I282" i="27"/>
  <c r="J282" i="27" s="1"/>
  <c r="M282" i="27"/>
  <c r="N282" i="27"/>
  <c r="P282" i="27"/>
  <c r="L282" i="27"/>
  <c r="K283" i="27"/>
  <c r="H283" i="27"/>
  <c r="J282" i="26"/>
  <c r="M282" i="26"/>
  <c r="N282" i="26"/>
  <c r="H283" i="26"/>
  <c r="P283" i="26" s="1"/>
  <c r="K283" i="26"/>
  <c r="L282" i="26"/>
  <c r="I279" i="18"/>
  <c r="K278" i="18"/>
  <c r="J278" i="18"/>
  <c r="L278" i="18"/>
  <c r="N278" i="18"/>
  <c r="H279" i="18"/>
  <c r="H286" i="28" l="1"/>
  <c r="M285" i="28"/>
  <c r="K286" i="28"/>
  <c r="L285" i="28"/>
  <c r="N285" i="28"/>
  <c r="P285" i="28"/>
  <c r="I283" i="27"/>
  <c r="J283" i="27" s="1"/>
  <c r="N283" i="27"/>
  <c r="P283" i="27"/>
  <c r="H284" i="27"/>
  <c r="M283" i="27"/>
  <c r="K284" i="27"/>
  <c r="L283" i="27"/>
  <c r="J283" i="26"/>
  <c r="L283" i="26"/>
  <c r="H284" i="26"/>
  <c r="P284" i="26" s="1"/>
  <c r="M283" i="26"/>
  <c r="K284" i="26"/>
  <c r="N283" i="26"/>
  <c r="K279" i="18"/>
  <c r="I280" i="18"/>
  <c r="N279" i="18"/>
  <c r="J279" i="18"/>
  <c r="L279" i="18"/>
  <c r="H280" i="18"/>
  <c r="H287" i="28" l="1"/>
  <c r="M286" i="28"/>
  <c r="L286" i="28"/>
  <c r="N286" i="28"/>
  <c r="P286" i="28"/>
  <c r="K287" i="28"/>
  <c r="I284" i="27"/>
  <c r="J284" i="27" s="1"/>
  <c r="P284" i="27"/>
  <c r="H285" i="27"/>
  <c r="N284" i="27"/>
  <c r="L284" i="27"/>
  <c r="M284" i="27"/>
  <c r="K285" i="27"/>
  <c r="J284" i="26"/>
  <c r="N284" i="26"/>
  <c r="K285" i="26"/>
  <c r="L284" i="26"/>
  <c r="M284" i="26"/>
  <c r="H285" i="26"/>
  <c r="P285" i="26" s="1"/>
  <c r="I281" i="18"/>
  <c r="K280" i="18"/>
  <c r="N280" i="18"/>
  <c r="J280" i="18"/>
  <c r="L280" i="18"/>
  <c r="H281" i="18"/>
  <c r="H288" i="28" l="1"/>
  <c r="M287" i="28"/>
  <c r="K288" i="28"/>
  <c r="L287" i="28"/>
  <c r="P287" i="28"/>
  <c r="N287" i="28"/>
  <c r="I285" i="27"/>
  <c r="J285" i="27" s="1"/>
  <c r="H286" i="27"/>
  <c r="K286" i="27"/>
  <c r="P285" i="27"/>
  <c r="L285" i="27"/>
  <c r="M285" i="27"/>
  <c r="N285" i="27"/>
  <c r="J285" i="26"/>
  <c r="H286" i="26"/>
  <c r="P286" i="26" s="1"/>
  <c r="L285" i="26"/>
  <c r="N285" i="26"/>
  <c r="M285" i="26"/>
  <c r="K286" i="26"/>
  <c r="I282" i="18"/>
  <c r="K281" i="18"/>
  <c r="L281" i="18"/>
  <c r="N281" i="18"/>
  <c r="J281" i="18"/>
  <c r="H282" i="18"/>
  <c r="H289" i="28" l="1"/>
  <c r="M288" i="28"/>
  <c r="L288" i="28"/>
  <c r="N288" i="28"/>
  <c r="P288" i="28"/>
  <c r="K289" i="28"/>
  <c r="I286" i="27"/>
  <c r="J286" i="27" s="1"/>
  <c r="K287" i="27"/>
  <c r="H287" i="27"/>
  <c r="L286" i="27"/>
  <c r="M286" i="27"/>
  <c r="N286" i="27"/>
  <c r="P286" i="27"/>
  <c r="J286" i="26"/>
  <c r="M286" i="26"/>
  <c r="N286" i="26"/>
  <c r="H287" i="26"/>
  <c r="P287" i="26" s="1"/>
  <c r="K287" i="26"/>
  <c r="L286" i="26"/>
  <c r="K282" i="18"/>
  <c r="I283" i="18"/>
  <c r="N282" i="18"/>
  <c r="L282" i="18"/>
  <c r="J282" i="18"/>
  <c r="H283" i="18"/>
  <c r="H290" i="28" l="1"/>
  <c r="M289" i="28"/>
  <c r="K290" i="28"/>
  <c r="L289" i="28"/>
  <c r="N289" i="28"/>
  <c r="P289" i="28"/>
  <c r="I287" i="27"/>
  <c r="J287" i="27" s="1"/>
  <c r="K288" i="27"/>
  <c r="L287" i="27"/>
  <c r="N287" i="27"/>
  <c r="P287" i="27"/>
  <c r="M287" i="27"/>
  <c r="H288" i="27"/>
  <c r="J287" i="26"/>
  <c r="L287" i="26"/>
  <c r="H288" i="26"/>
  <c r="P288" i="26" s="1"/>
  <c r="N287" i="26"/>
  <c r="M287" i="26"/>
  <c r="K288" i="26"/>
  <c r="K283" i="18"/>
  <c r="I284" i="18"/>
  <c r="J283" i="18"/>
  <c r="N283" i="18"/>
  <c r="L283" i="18"/>
  <c r="H284" i="18"/>
  <c r="H291" i="28" l="1"/>
  <c r="M290" i="28"/>
  <c r="L290" i="28"/>
  <c r="N290" i="28"/>
  <c r="P290" i="28"/>
  <c r="K291" i="28"/>
  <c r="I288" i="27"/>
  <c r="J288" i="27" s="1"/>
  <c r="L288" i="27"/>
  <c r="M288" i="27"/>
  <c r="K289" i="27"/>
  <c r="N288" i="27"/>
  <c r="P288" i="27"/>
  <c r="H289" i="27"/>
  <c r="J288" i="26"/>
  <c r="N288" i="26"/>
  <c r="K289" i="26"/>
  <c r="L288" i="26"/>
  <c r="M288" i="26"/>
  <c r="H289" i="26"/>
  <c r="P289" i="26" s="1"/>
  <c r="I285" i="18"/>
  <c r="K284" i="18"/>
  <c r="J284" i="18"/>
  <c r="L284" i="18"/>
  <c r="N284" i="18"/>
  <c r="H285" i="18"/>
  <c r="H292" i="28" l="1"/>
  <c r="M291" i="28"/>
  <c r="K292" i="28"/>
  <c r="L291" i="28"/>
  <c r="P291" i="28"/>
  <c r="N291" i="28"/>
  <c r="I289" i="27"/>
  <c r="J289" i="27" s="1"/>
  <c r="L289" i="27"/>
  <c r="M289" i="27"/>
  <c r="N289" i="27"/>
  <c r="H290" i="27"/>
  <c r="P289" i="27"/>
  <c r="K290" i="27"/>
  <c r="J289" i="26"/>
  <c r="H290" i="26"/>
  <c r="P290" i="26" s="1"/>
  <c r="L289" i="26"/>
  <c r="N289" i="26"/>
  <c r="M289" i="26"/>
  <c r="K290" i="26"/>
  <c r="I286" i="18"/>
  <c r="K285" i="18"/>
  <c r="L285" i="18"/>
  <c r="J285" i="18"/>
  <c r="N285" i="18"/>
  <c r="H286" i="18"/>
  <c r="H293" i="28" l="1"/>
  <c r="M292" i="28"/>
  <c r="L292" i="28"/>
  <c r="N292" i="28"/>
  <c r="P292" i="28"/>
  <c r="K293" i="28"/>
  <c r="I290" i="27"/>
  <c r="J290" i="27" s="1"/>
  <c r="M290" i="27"/>
  <c r="N290" i="27"/>
  <c r="P290" i="27"/>
  <c r="L290" i="27"/>
  <c r="H291" i="27"/>
  <c r="K291" i="27"/>
  <c r="J290" i="26"/>
  <c r="M290" i="26"/>
  <c r="N290" i="26"/>
  <c r="H291" i="26"/>
  <c r="P291" i="26" s="1"/>
  <c r="K291" i="26"/>
  <c r="L290" i="26"/>
  <c r="I287" i="18"/>
  <c r="K286" i="18"/>
  <c r="L286" i="18"/>
  <c r="J286" i="18"/>
  <c r="N286" i="18"/>
  <c r="H287" i="18"/>
  <c r="H294" i="28" l="1"/>
  <c r="M293" i="28"/>
  <c r="K294" i="28"/>
  <c r="L293" i="28"/>
  <c r="N293" i="28"/>
  <c r="P293" i="28"/>
  <c r="I291" i="27"/>
  <c r="J291" i="27" s="1"/>
  <c r="N291" i="27"/>
  <c r="P291" i="27"/>
  <c r="H292" i="27"/>
  <c r="M291" i="27"/>
  <c r="L291" i="27"/>
  <c r="K292" i="27"/>
  <c r="J291" i="26"/>
  <c r="L291" i="26"/>
  <c r="H292" i="26"/>
  <c r="P292" i="26" s="1"/>
  <c r="M291" i="26"/>
  <c r="N291" i="26"/>
  <c r="K292" i="26"/>
  <c r="K287" i="18"/>
  <c r="I288" i="18"/>
  <c r="N287" i="18"/>
  <c r="J287" i="18"/>
  <c r="L287" i="18"/>
  <c r="H288" i="18"/>
  <c r="H295" i="28" l="1"/>
  <c r="M294" i="28"/>
  <c r="L294" i="28"/>
  <c r="N294" i="28"/>
  <c r="P294" i="28"/>
  <c r="K295" i="28"/>
  <c r="I292" i="27"/>
  <c r="J292" i="27" s="1"/>
  <c r="P292" i="27"/>
  <c r="H293" i="27"/>
  <c r="N292" i="27"/>
  <c r="K293" i="27"/>
  <c r="L292" i="27"/>
  <c r="M292" i="27"/>
  <c r="J292" i="26"/>
  <c r="N292" i="26"/>
  <c r="K293" i="26"/>
  <c r="L292" i="26"/>
  <c r="M292" i="26"/>
  <c r="H293" i="26"/>
  <c r="P293" i="26" s="1"/>
  <c r="I289" i="18"/>
  <c r="K288" i="18"/>
  <c r="N288" i="18"/>
  <c r="J288" i="18"/>
  <c r="L288" i="18"/>
  <c r="H289" i="18"/>
  <c r="H296" i="28" l="1"/>
  <c r="M295" i="28"/>
  <c r="K296" i="28"/>
  <c r="L295" i="28"/>
  <c r="P295" i="28"/>
  <c r="N295" i="28"/>
  <c r="I293" i="27"/>
  <c r="J293" i="27" s="1"/>
  <c r="H294" i="27"/>
  <c r="K294" i="27"/>
  <c r="P293" i="27"/>
  <c r="L293" i="27"/>
  <c r="M293" i="27"/>
  <c r="N293" i="27"/>
  <c r="J293" i="26"/>
  <c r="H294" i="26"/>
  <c r="P294" i="26" s="1"/>
  <c r="L293" i="26"/>
  <c r="N293" i="26"/>
  <c r="K294" i="26"/>
  <c r="M293" i="26"/>
  <c r="K289" i="18"/>
  <c r="I290" i="18"/>
  <c r="J289" i="18"/>
  <c r="L289" i="18"/>
  <c r="N289" i="18"/>
  <c r="H290" i="18"/>
  <c r="H297" i="28" l="1"/>
  <c r="M296" i="28"/>
  <c r="L296" i="28"/>
  <c r="N296" i="28"/>
  <c r="P296" i="28"/>
  <c r="K297" i="28"/>
  <c r="I294" i="27"/>
  <c r="J294" i="27" s="1"/>
  <c r="K295" i="27"/>
  <c r="H295" i="27"/>
  <c r="M294" i="27"/>
  <c r="N294" i="27"/>
  <c r="L294" i="27"/>
  <c r="P294" i="27"/>
  <c r="J294" i="26"/>
  <c r="M294" i="26"/>
  <c r="N294" i="26"/>
  <c r="H295" i="26"/>
  <c r="P295" i="26" s="1"/>
  <c r="K295" i="26"/>
  <c r="L294" i="26"/>
  <c r="K290" i="18"/>
  <c r="I291" i="18"/>
  <c r="J290" i="18"/>
  <c r="N290" i="18"/>
  <c r="L290" i="18"/>
  <c r="H291" i="18"/>
  <c r="H298" i="28" l="1"/>
  <c r="M297" i="28"/>
  <c r="K298" i="28"/>
  <c r="L297" i="28"/>
  <c r="N297" i="28"/>
  <c r="P297" i="28"/>
  <c r="I295" i="27"/>
  <c r="J295" i="27" s="1"/>
  <c r="K296" i="27"/>
  <c r="L295" i="27"/>
  <c r="M295" i="27"/>
  <c r="N295" i="27"/>
  <c r="P295" i="27"/>
  <c r="H296" i="27"/>
  <c r="J295" i="26"/>
  <c r="L295" i="26"/>
  <c r="H296" i="26"/>
  <c r="P296" i="26" s="1"/>
  <c r="K296" i="26"/>
  <c r="M295" i="26"/>
  <c r="N295" i="26"/>
  <c r="K291" i="18"/>
  <c r="I292" i="18"/>
  <c r="J291" i="18"/>
  <c r="L291" i="18"/>
  <c r="N291" i="18"/>
  <c r="H292" i="18"/>
  <c r="H299" i="28" l="1"/>
  <c r="M298" i="28"/>
  <c r="L298" i="28"/>
  <c r="N298" i="28"/>
  <c r="P298" i="28"/>
  <c r="K299" i="28"/>
  <c r="I296" i="27"/>
  <c r="J296" i="27" s="1"/>
  <c r="L296" i="27"/>
  <c r="M296" i="27"/>
  <c r="K297" i="27"/>
  <c r="P296" i="27"/>
  <c r="H297" i="27"/>
  <c r="N296" i="27"/>
  <c r="J296" i="26"/>
  <c r="N296" i="26"/>
  <c r="K297" i="26"/>
  <c r="L296" i="26"/>
  <c r="M296" i="26"/>
  <c r="H297" i="26"/>
  <c r="P297" i="26" s="1"/>
  <c r="I293" i="18"/>
  <c r="K292" i="18"/>
  <c r="J292" i="18"/>
  <c r="L292" i="18"/>
  <c r="N292" i="18"/>
  <c r="H293" i="18"/>
  <c r="H300" i="28" l="1"/>
  <c r="M299" i="28"/>
  <c r="K300" i="28"/>
  <c r="L299" i="28"/>
  <c r="P299" i="28"/>
  <c r="N299" i="28"/>
  <c r="I297" i="27"/>
  <c r="J297" i="27" s="1"/>
  <c r="L297" i="27"/>
  <c r="M297" i="27"/>
  <c r="N297" i="27"/>
  <c r="P297" i="27"/>
  <c r="H298" i="27"/>
  <c r="K298" i="27"/>
  <c r="J297" i="26"/>
  <c r="H298" i="26"/>
  <c r="P298" i="26" s="1"/>
  <c r="L297" i="26"/>
  <c r="N297" i="26"/>
  <c r="M297" i="26"/>
  <c r="K298" i="26"/>
  <c r="I294" i="18"/>
  <c r="K293" i="18"/>
  <c r="L293" i="18"/>
  <c r="N293" i="18"/>
  <c r="J293" i="18"/>
  <c r="H294" i="18"/>
  <c r="H301" i="28" l="1"/>
  <c r="M300" i="28"/>
  <c r="L300" i="28"/>
  <c r="N300" i="28"/>
  <c r="P300" i="28"/>
  <c r="K301" i="28"/>
  <c r="I298" i="27"/>
  <c r="J298" i="27" s="1"/>
  <c r="M298" i="27"/>
  <c r="N298" i="27"/>
  <c r="P298" i="27"/>
  <c r="L298" i="27"/>
  <c r="K299" i="27"/>
  <c r="H299" i="27"/>
  <c r="J298" i="26"/>
  <c r="M298" i="26"/>
  <c r="N298" i="26"/>
  <c r="H299" i="26"/>
  <c r="P299" i="26" s="1"/>
  <c r="K299" i="26"/>
  <c r="L298" i="26"/>
  <c r="I295" i="18"/>
  <c r="K294" i="18"/>
  <c r="N294" i="18"/>
  <c r="L294" i="18"/>
  <c r="J294" i="18"/>
  <c r="H295" i="18"/>
  <c r="H302" i="28" l="1"/>
  <c r="M301" i="28"/>
  <c r="K302" i="28"/>
  <c r="L301" i="28"/>
  <c r="N301" i="28"/>
  <c r="P301" i="28"/>
  <c r="I299" i="27"/>
  <c r="J299" i="27" s="1"/>
  <c r="N299" i="27"/>
  <c r="P299" i="27"/>
  <c r="H300" i="27"/>
  <c r="M299" i="27"/>
  <c r="K300" i="27"/>
  <c r="L299" i="27"/>
  <c r="J299" i="26"/>
  <c r="L299" i="26"/>
  <c r="H300" i="26"/>
  <c r="P300" i="26" s="1"/>
  <c r="N299" i="26"/>
  <c r="M299" i="26"/>
  <c r="K300" i="26"/>
  <c r="K295" i="18"/>
  <c r="I296" i="18"/>
  <c r="N295" i="18"/>
  <c r="L295" i="18"/>
  <c r="J295" i="18"/>
  <c r="H296" i="18"/>
  <c r="H303" i="28" l="1"/>
  <c r="M302" i="28"/>
  <c r="L302" i="28"/>
  <c r="N302" i="28"/>
  <c r="P302" i="28"/>
  <c r="K303" i="28"/>
  <c r="I300" i="27"/>
  <c r="J300" i="27" s="1"/>
  <c r="P300" i="27"/>
  <c r="H301" i="27"/>
  <c r="N300" i="27"/>
  <c r="L300" i="27"/>
  <c r="M300" i="27"/>
  <c r="K301" i="27"/>
  <c r="J300" i="26"/>
  <c r="N300" i="26"/>
  <c r="K301" i="26"/>
  <c r="L300" i="26"/>
  <c r="M300" i="26"/>
  <c r="H301" i="26"/>
  <c r="P301" i="26" s="1"/>
  <c r="K296" i="18"/>
  <c r="I297" i="18"/>
  <c r="N296" i="18"/>
  <c r="J296" i="18"/>
  <c r="L296" i="18"/>
  <c r="H297" i="18"/>
  <c r="H304" i="28" l="1"/>
  <c r="M303" i="28"/>
  <c r="K304" i="28"/>
  <c r="L303" i="28"/>
  <c r="P303" i="28"/>
  <c r="N303" i="28"/>
  <c r="I301" i="27"/>
  <c r="J301" i="27" s="1"/>
  <c r="H302" i="27"/>
  <c r="K302" i="27"/>
  <c r="P301" i="27"/>
  <c r="L301" i="27"/>
  <c r="M301" i="27"/>
  <c r="N301" i="27"/>
  <c r="J301" i="26"/>
  <c r="H302" i="26"/>
  <c r="P302" i="26" s="1"/>
  <c r="L301" i="26"/>
  <c r="N301" i="26"/>
  <c r="K302" i="26"/>
  <c r="M301" i="26"/>
  <c r="K297" i="18"/>
  <c r="I298" i="18"/>
  <c r="J297" i="18"/>
  <c r="L297" i="18"/>
  <c r="N297" i="18"/>
  <c r="H298" i="18"/>
  <c r="H305" i="28" l="1"/>
  <c r="M304" i="28"/>
  <c r="L304" i="28"/>
  <c r="N304" i="28"/>
  <c r="P304" i="28"/>
  <c r="K305" i="28"/>
  <c r="I302" i="27"/>
  <c r="J302" i="27" s="1"/>
  <c r="K303" i="27"/>
  <c r="H303" i="27"/>
  <c r="L302" i="27"/>
  <c r="M302" i="27"/>
  <c r="N302" i="27"/>
  <c r="P302" i="27"/>
  <c r="J302" i="26"/>
  <c r="M302" i="26"/>
  <c r="N302" i="26"/>
  <c r="H303" i="26"/>
  <c r="P303" i="26" s="1"/>
  <c r="K303" i="26"/>
  <c r="L302" i="26"/>
  <c r="K298" i="18"/>
  <c r="I299" i="18"/>
  <c r="J298" i="18"/>
  <c r="N298" i="18"/>
  <c r="L298" i="18"/>
  <c r="H299" i="18"/>
  <c r="H306" i="28" l="1"/>
  <c r="M305" i="28"/>
  <c r="K306" i="28"/>
  <c r="L305" i="28"/>
  <c r="N305" i="28"/>
  <c r="P305" i="28"/>
  <c r="I303" i="27"/>
  <c r="J303" i="27" s="1"/>
  <c r="K304" i="27"/>
  <c r="L303" i="27"/>
  <c r="N303" i="27"/>
  <c r="P303" i="27"/>
  <c r="M303" i="27"/>
  <c r="H304" i="27"/>
  <c r="J303" i="26"/>
  <c r="L303" i="26"/>
  <c r="H304" i="26"/>
  <c r="P304" i="26" s="1"/>
  <c r="M303" i="26"/>
  <c r="N303" i="26"/>
  <c r="K304" i="26"/>
  <c r="K299" i="18"/>
  <c r="I300" i="18"/>
  <c r="J299" i="18"/>
  <c r="L299" i="18"/>
  <c r="N299" i="18"/>
  <c r="H300" i="18"/>
  <c r="H307" i="28" l="1"/>
  <c r="M306" i="28"/>
  <c r="L306" i="28"/>
  <c r="N306" i="28"/>
  <c r="P306" i="28"/>
  <c r="K307" i="28"/>
  <c r="I304" i="27"/>
  <c r="J304" i="27" s="1"/>
  <c r="L304" i="27"/>
  <c r="M304" i="27"/>
  <c r="K305" i="27"/>
  <c r="N304" i="27"/>
  <c r="P304" i="27"/>
  <c r="H305" i="27"/>
  <c r="J304" i="26"/>
  <c r="N304" i="26"/>
  <c r="K305" i="26"/>
  <c r="L304" i="26"/>
  <c r="M304" i="26"/>
  <c r="H305" i="26"/>
  <c r="P305" i="26" s="1"/>
  <c r="I301" i="18"/>
  <c r="K300" i="18"/>
  <c r="J300" i="18"/>
  <c r="L300" i="18"/>
  <c r="N300" i="18"/>
  <c r="H301" i="18"/>
  <c r="H308" i="28" l="1"/>
  <c r="M307" i="28"/>
  <c r="K308" i="28"/>
  <c r="L307" i="28"/>
  <c r="N307" i="28"/>
  <c r="P307" i="28"/>
  <c r="I305" i="27"/>
  <c r="J305" i="27" s="1"/>
  <c r="L305" i="27"/>
  <c r="M305" i="27"/>
  <c r="N305" i="27"/>
  <c r="H306" i="27"/>
  <c r="P305" i="27"/>
  <c r="K306" i="27"/>
  <c r="J305" i="26"/>
  <c r="H306" i="26"/>
  <c r="P306" i="26" s="1"/>
  <c r="M305" i="26"/>
  <c r="L305" i="26"/>
  <c r="N305" i="26"/>
  <c r="K306" i="26"/>
  <c r="I302" i="18"/>
  <c r="K301" i="18"/>
  <c r="L301" i="18"/>
  <c r="J301" i="18"/>
  <c r="N301" i="18"/>
  <c r="H302" i="18"/>
  <c r="H309" i="28" l="1"/>
  <c r="M308" i="28"/>
  <c r="L308" i="28"/>
  <c r="N308" i="28"/>
  <c r="P308" i="28"/>
  <c r="K309" i="28"/>
  <c r="I306" i="27"/>
  <c r="J306" i="27" s="1"/>
  <c r="M306" i="27"/>
  <c r="N306" i="27"/>
  <c r="P306" i="27"/>
  <c r="L306" i="27"/>
  <c r="H307" i="27"/>
  <c r="K307" i="27"/>
  <c r="J306" i="26"/>
  <c r="M306" i="26"/>
  <c r="N306" i="26"/>
  <c r="H307" i="26"/>
  <c r="P307" i="26" s="1"/>
  <c r="K307" i="26"/>
  <c r="L306" i="26"/>
  <c r="I303" i="18"/>
  <c r="K302" i="18"/>
  <c r="J302" i="18"/>
  <c r="N302" i="18"/>
  <c r="L302" i="18"/>
  <c r="H303" i="18"/>
  <c r="H310" i="28" l="1"/>
  <c r="M309" i="28"/>
  <c r="K310" i="28"/>
  <c r="L309" i="28"/>
  <c r="N309" i="28"/>
  <c r="P309" i="28"/>
  <c r="I307" i="27"/>
  <c r="J307" i="27" s="1"/>
  <c r="N307" i="27"/>
  <c r="P307" i="27"/>
  <c r="H308" i="27"/>
  <c r="M307" i="27"/>
  <c r="L307" i="27"/>
  <c r="K308" i="27"/>
  <c r="J307" i="26"/>
  <c r="L307" i="26"/>
  <c r="K308" i="26"/>
  <c r="H308" i="26"/>
  <c r="P308" i="26" s="1"/>
  <c r="N307" i="26"/>
  <c r="M307" i="26"/>
  <c r="K303" i="18"/>
  <c r="I304" i="18"/>
  <c r="N303" i="18"/>
  <c r="L303" i="18"/>
  <c r="J303" i="18"/>
  <c r="H304" i="18"/>
  <c r="H311" i="28" l="1"/>
  <c r="M310" i="28"/>
  <c r="L310" i="28"/>
  <c r="N310" i="28"/>
  <c r="P310" i="28"/>
  <c r="K311" i="28"/>
  <c r="I308" i="27"/>
  <c r="J308" i="27" s="1"/>
  <c r="P308" i="27"/>
  <c r="H309" i="27"/>
  <c r="N308" i="27"/>
  <c r="K309" i="27"/>
  <c r="L308" i="27"/>
  <c r="M308" i="27"/>
  <c r="J308" i="26"/>
  <c r="N308" i="26"/>
  <c r="K309" i="26"/>
  <c r="L308" i="26"/>
  <c r="M308" i="26"/>
  <c r="H309" i="26"/>
  <c r="P309" i="26" s="1"/>
  <c r="I305" i="18"/>
  <c r="K304" i="18"/>
  <c r="N304" i="18"/>
  <c r="L304" i="18"/>
  <c r="J304" i="18"/>
  <c r="H305" i="18"/>
  <c r="H312" i="28" l="1"/>
  <c r="M311" i="28"/>
  <c r="K312" i="28"/>
  <c r="L311" i="28"/>
  <c r="N311" i="28"/>
  <c r="P311" i="28"/>
  <c r="I309" i="27"/>
  <c r="J309" i="27" s="1"/>
  <c r="H310" i="27"/>
  <c r="K310" i="27"/>
  <c r="P309" i="27"/>
  <c r="L309" i="27"/>
  <c r="M309" i="27"/>
  <c r="N309" i="27"/>
  <c r="J309" i="26"/>
  <c r="H310" i="26"/>
  <c r="P310" i="26" s="1"/>
  <c r="M309" i="26"/>
  <c r="L309" i="26"/>
  <c r="N309" i="26"/>
  <c r="K310" i="26"/>
  <c r="I306" i="18"/>
  <c r="K305" i="18"/>
  <c r="N305" i="18"/>
  <c r="L305" i="18"/>
  <c r="J305" i="18"/>
  <c r="H306" i="18"/>
  <c r="H313" i="28" l="1"/>
  <c r="M312" i="28"/>
  <c r="L312" i="28"/>
  <c r="N312" i="28"/>
  <c r="P312" i="28"/>
  <c r="K313" i="28"/>
  <c r="I310" i="27"/>
  <c r="J310" i="27" s="1"/>
  <c r="K311" i="27"/>
  <c r="H311" i="27"/>
  <c r="M310" i="27"/>
  <c r="N310" i="27"/>
  <c r="L310" i="27"/>
  <c r="P310" i="27"/>
  <c r="J310" i="26"/>
  <c r="M310" i="26"/>
  <c r="N310" i="26"/>
  <c r="H311" i="26"/>
  <c r="P311" i="26" s="1"/>
  <c r="K311" i="26"/>
  <c r="L310" i="26"/>
  <c r="I307" i="18"/>
  <c r="K306" i="18"/>
  <c r="N306" i="18"/>
  <c r="J306" i="18"/>
  <c r="L306" i="18"/>
  <c r="H307" i="18"/>
  <c r="H314" i="28" l="1"/>
  <c r="M313" i="28"/>
  <c r="K314" i="28"/>
  <c r="L313" i="28"/>
  <c r="N313" i="28"/>
  <c r="P313" i="28"/>
  <c r="I311" i="27"/>
  <c r="J311" i="27" s="1"/>
  <c r="K312" i="27"/>
  <c r="L311" i="27"/>
  <c r="M311" i="27"/>
  <c r="N311" i="27"/>
  <c r="H312" i="27"/>
  <c r="P311" i="27"/>
  <c r="J311" i="26"/>
  <c r="L311" i="26"/>
  <c r="M311" i="26"/>
  <c r="K312" i="26"/>
  <c r="H312" i="26"/>
  <c r="P312" i="26" s="1"/>
  <c r="N311" i="26"/>
  <c r="I308" i="18"/>
  <c r="K307" i="18"/>
  <c r="J307" i="18"/>
  <c r="L307" i="18"/>
  <c r="N307" i="18"/>
  <c r="H308" i="18"/>
  <c r="H315" i="28" l="1"/>
  <c r="M314" i="28"/>
  <c r="L314" i="28"/>
  <c r="N314" i="28"/>
  <c r="P314" i="28"/>
  <c r="K315" i="28"/>
  <c r="I312" i="27"/>
  <c r="J312" i="27" s="1"/>
  <c r="L312" i="27"/>
  <c r="M312" i="27"/>
  <c r="K313" i="27"/>
  <c r="P312" i="27"/>
  <c r="H313" i="27"/>
  <c r="N312" i="27"/>
  <c r="J312" i="26"/>
  <c r="N312" i="26"/>
  <c r="K313" i="26"/>
  <c r="L312" i="26"/>
  <c r="M312" i="26"/>
  <c r="H313" i="26"/>
  <c r="P313" i="26" s="1"/>
  <c r="I309" i="18"/>
  <c r="K308" i="18"/>
  <c r="J308" i="18"/>
  <c r="L308" i="18"/>
  <c r="N308" i="18"/>
  <c r="H309" i="18"/>
  <c r="H316" i="28" l="1"/>
  <c r="M315" i="28"/>
  <c r="K316" i="28"/>
  <c r="L315" i="28"/>
  <c r="P315" i="28"/>
  <c r="N315" i="28"/>
  <c r="I313" i="27"/>
  <c r="J313" i="27" s="1"/>
  <c r="L313" i="27"/>
  <c r="M313" i="27"/>
  <c r="N313" i="27"/>
  <c r="P313" i="27"/>
  <c r="K314" i="27"/>
  <c r="H314" i="27"/>
  <c r="J313" i="26"/>
  <c r="H314" i="26"/>
  <c r="P314" i="26" s="1"/>
  <c r="K314" i="26"/>
  <c r="M313" i="26"/>
  <c r="L313" i="26"/>
  <c r="N313" i="26"/>
  <c r="I310" i="18"/>
  <c r="K309" i="18"/>
  <c r="L309" i="18"/>
  <c r="J309" i="18"/>
  <c r="N309" i="18"/>
  <c r="H310" i="18"/>
  <c r="H317" i="28" l="1"/>
  <c r="M316" i="28"/>
  <c r="L316" i="28"/>
  <c r="N316" i="28"/>
  <c r="P316" i="28"/>
  <c r="K317" i="28"/>
  <c r="K15" i="28" s="1"/>
  <c r="I314" i="27"/>
  <c r="J314" i="27" s="1"/>
  <c r="M314" i="27"/>
  <c r="N314" i="27"/>
  <c r="P314" i="27"/>
  <c r="L314" i="27"/>
  <c r="K315" i="27"/>
  <c r="H315" i="27"/>
  <c r="J314" i="26"/>
  <c r="M314" i="26"/>
  <c r="N314" i="26"/>
  <c r="H315" i="26"/>
  <c r="P315" i="26" s="1"/>
  <c r="K315" i="26"/>
  <c r="L314" i="26"/>
  <c r="I311" i="18"/>
  <c r="K310" i="18"/>
  <c r="J310" i="18"/>
  <c r="L310" i="18"/>
  <c r="N310" i="18"/>
  <c r="H311" i="18"/>
  <c r="M317" i="28" l="1"/>
  <c r="L317" i="28"/>
  <c r="L15" i="28" s="1"/>
  <c r="M15" i="28" s="1"/>
  <c r="N317" i="28"/>
  <c r="P317" i="28"/>
  <c r="AA32" i="28" s="1"/>
  <c r="AA36" i="28" s="1"/>
  <c r="I315" i="27"/>
  <c r="J315" i="27" s="1"/>
  <c r="N315" i="27"/>
  <c r="P315" i="27"/>
  <c r="H316" i="27"/>
  <c r="M315" i="27"/>
  <c r="K316" i="27"/>
  <c r="L315" i="27"/>
  <c r="J315" i="26"/>
  <c r="L315" i="26"/>
  <c r="M315" i="26"/>
  <c r="H316" i="26"/>
  <c r="P316" i="26" s="1"/>
  <c r="N315" i="26"/>
  <c r="K316" i="26"/>
  <c r="K311" i="18"/>
  <c r="I312" i="18"/>
  <c r="N311" i="18"/>
  <c r="J311" i="18"/>
  <c r="L311" i="18"/>
  <c r="H312" i="18"/>
  <c r="D40" i="28" l="1"/>
  <c r="V65" i="28"/>
  <c r="D41" i="28" s="1"/>
  <c r="E40" i="28" s="1"/>
  <c r="W57" i="28"/>
  <c r="I316" i="27"/>
  <c r="J316" i="27" s="1"/>
  <c r="P316" i="27"/>
  <c r="H317" i="27"/>
  <c r="N316" i="27"/>
  <c r="L316" i="27"/>
  <c r="M316" i="27"/>
  <c r="K317" i="27"/>
  <c r="J316" i="26"/>
  <c r="N316" i="26"/>
  <c r="K317" i="26"/>
  <c r="K15" i="26" s="1"/>
  <c r="L316" i="26"/>
  <c r="M316" i="26"/>
  <c r="H317" i="26"/>
  <c r="P317" i="26" s="1"/>
  <c r="I313" i="18"/>
  <c r="K312" i="18"/>
  <c r="N312" i="18"/>
  <c r="J312" i="18"/>
  <c r="L312" i="18"/>
  <c r="H313" i="18"/>
  <c r="I317" i="27" l="1"/>
  <c r="J317" i="27" s="1"/>
  <c r="P317" i="27"/>
  <c r="L317" i="27"/>
  <c r="M317" i="27"/>
  <c r="N317" i="27"/>
  <c r="J317" i="26"/>
  <c r="J15" i="26" s="1"/>
  <c r="AA32" i="26"/>
  <c r="AA36" i="26" s="1"/>
  <c r="M317" i="26"/>
  <c r="L317" i="26"/>
  <c r="L15" i="26" s="1"/>
  <c r="M15" i="26" s="1"/>
  <c r="N317" i="26"/>
  <c r="K313" i="18"/>
  <c r="I314" i="18"/>
  <c r="L313" i="18"/>
  <c r="N313" i="18"/>
  <c r="J313" i="18"/>
  <c r="H314" i="18"/>
  <c r="D40" i="26" l="1"/>
  <c r="W57" i="26"/>
  <c r="V65" i="26"/>
  <c r="D41" i="26" s="1"/>
  <c r="E40" i="26" s="1"/>
  <c r="K314" i="18"/>
  <c r="I315" i="18"/>
  <c r="N314" i="18"/>
  <c r="L314" i="18"/>
  <c r="J314" i="18"/>
  <c r="H315" i="18"/>
  <c r="K315" i="18" s="1"/>
  <c r="J315" i="18" l="1"/>
  <c r="N315" i="18"/>
  <c r="L315" i="18"/>
  <c r="W53" i="18" l="1"/>
  <c r="D29" i="18"/>
  <c r="L15" i="18"/>
  <c r="J16" i="18" s="1"/>
  <c r="C32" i="17"/>
  <c r="H32" i="17"/>
  <c r="F33" i="17" s="1"/>
  <c r="F34" i="17" s="1"/>
  <c r="F35" i="17" s="1"/>
  <c r="F36" i="17" s="1"/>
  <c r="F37" i="17" s="1"/>
  <c r="F38" i="17" s="1"/>
  <c r="F39" i="17" s="1"/>
  <c r="F40" i="17" s="1"/>
  <c r="F41" i="17" s="1"/>
  <c r="F42" i="17" s="1"/>
  <c r="F43" i="17" s="1"/>
  <c r="F44" i="17" s="1"/>
  <c r="C33" i="17"/>
  <c r="F32" i="17"/>
  <c r="G32" i="17"/>
  <c r="J32" i="17" l="1"/>
  <c r="D33" i="17"/>
  <c r="E33" i="17" s="1"/>
  <c r="H33" i="17" s="1"/>
  <c r="C34" i="17"/>
  <c r="G33" i="17"/>
  <c r="J33" i="17"/>
  <c r="N15" i="18"/>
  <c r="D34" i="17" l="1"/>
  <c r="J34" i="17"/>
  <c r="G34" i="17"/>
  <c r="E34" i="17"/>
  <c r="H34" i="17" s="1"/>
  <c r="C35" i="17"/>
  <c r="I16" i="18"/>
  <c r="D35" i="17" l="1"/>
  <c r="J35" i="17"/>
  <c r="G35" i="17"/>
  <c r="E35" i="17"/>
  <c r="H35" i="17" s="1"/>
  <c r="C36" i="17"/>
  <c r="N16" i="18"/>
  <c r="K16" i="18"/>
  <c r="L16" i="18" s="1"/>
  <c r="J17" i="18" s="1"/>
  <c r="I17" i="18" s="1"/>
  <c r="D36" i="17" l="1"/>
  <c r="E36" i="17" s="1"/>
  <c r="H36" i="17" s="1"/>
  <c r="C37" i="17"/>
  <c r="J36" i="17"/>
  <c r="G36" i="17"/>
  <c r="N17" i="18"/>
  <c r="K17" i="18"/>
  <c r="L17" i="18" s="1"/>
  <c r="J18" i="18" s="1"/>
  <c r="D37" i="17" l="1"/>
  <c r="G37" i="17"/>
  <c r="E37" i="17"/>
  <c r="H37" i="17" s="1"/>
  <c r="C38" i="17"/>
  <c r="J37" i="17"/>
  <c r="I18" i="18"/>
  <c r="D38" i="17" l="1"/>
  <c r="E38" i="17" s="1"/>
  <c r="H38" i="17" s="1"/>
  <c r="C39" i="17"/>
  <c r="J38" i="17"/>
  <c r="G38" i="17"/>
  <c r="N18" i="18"/>
  <c r="K18" i="18"/>
  <c r="L18" i="18" s="1"/>
  <c r="J19" i="18" s="1"/>
  <c r="I19" i="18" s="1"/>
  <c r="D39" i="17" l="1"/>
  <c r="E39" i="17"/>
  <c r="H39" i="17" s="1"/>
  <c r="G39" i="17"/>
  <c r="J39" i="17"/>
  <c r="C40" i="17"/>
  <c r="N19" i="18"/>
  <c r="K19" i="18"/>
  <c r="L19" i="18" s="1"/>
  <c r="D40" i="17" l="1"/>
  <c r="G40" i="17"/>
  <c r="E40" i="17"/>
  <c r="H40" i="17" s="1"/>
  <c r="C41" i="17"/>
  <c r="J40" i="17"/>
  <c r="J20" i="18"/>
  <c r="I20" i="18" s="1"/>
  <c r="D41" i="17" l="1"/>
  <c r="E41" i="17"/>
  <c r="H41" i="17" s="1"/>
  <c r="C42" i="17"/>
  <c r="J41" i="17"/>
  <c r="G41" i="17"/>
  <c r="N20" i="18"/>
  <c r="K20" i="18"/>
  <c r="L20" i="18" s="1"/>
  <c r="D42" i="17" l="1"/>
  <c r="C43" i="17"/>
  <c r="G42" i="17"/>
  <c r="J42" i="17"/>
  <c r="E42" i="17"/>
  <c r="H42" i="17" s="1"/>
  <c r="J21" i="18"/>
  <c r="I21" i="18" s="1"/>
  <c r="D43" i="17" l="1"/>
  <c r="J43" i="17"/>
  <c r="G43" i="17"/>
  <c r="C44" i="17"/>
  <c r="E43" i="17"/>
  <c r="H43" i="17" s="1"/>
  <c r="N21" i="18"/>
  <c r="K21" i="18"/>
  <c r="L21" i="18" s="1"/>
  <c r="D44" i="17" l="1"/>
  <c r="G44" i="17"/>
  <c r="E44" i="17"/>
  <c r="H44" i="17" s="1"/>
  <c r="J44" i="17"/>
  <c r="C46" i="17" s="1"/>
  <c r="J22" i="18"/>
  <c r="I22" i="18" s="1"/>
  <c r="C47" i="17" l="1"/>
  <c r="C21" i="17" s="1"/>
  <c r="C48" i="17"/>
  <c r="C22" i="17" s="1"/>
  <c r="N22" i="18"/>
  <c r="K22" i="18"/>
  <c r="L22" i="18" s="1"/>
  <c r="J23" i="18" l="1"/>
  <c r="I23" i="18" s="1"/>
  <c r="N23" i="18" l="1"/>
  <c r="K23" i="18"/>
  <c r="L23" i="18" s="1"/>
  <c r="J24" i="18" s="1"/>
  <c r="I24" i="18"/>
  <c r="N24" i="18" l="1"/>
  <c r="K24" i="18"/>
  <c r="L24" i="18" s="1"/>
  <c r="J25" i="18" s="1"/>
  <c r="I25" i="18"/>
  <c r="N25" i="18" l="1"/>
  <c r="K25" i="18"/>
  <c r="L25" i="18" s="1"/>
  <c r="I26" i="18"/>
  <c r="J26" i="18" l="1"/>
  <c r="K26" i="18" s="1"/>
  <c r="L26" i="18" s="1"/>
  <c r="J27" i="18" s="1"/>
  <c r="N26" i="18"/>
  <c r="I27" i="18"/>
  <c r="I28" i="18" s="1"/>
  <c r="N28" i="18" l="1"/>
  <c r="I29" i="18"/>
  <c r="N27" i="18"/>
  <c r="K27" i="18"/>
  <c r="L27" i="18" s="1"/>
  <c r="J28" i="18" s="1"/>
  <c r="K28" i="18" s="1"/>
  <c r="L28" i="18" s="1"/>
  <c r="J29" i="18" s="1"/>
  <c r="N29" i="18" l="1"/>
  <c r="K29" i="18"/>
  <c r="L29" i="18" s="1"/>
  <c r="J30" i="18" s="1"/>
  <c r="I30" i="18"/>
  <c r="N30" i="18" s="1"/>
  <c r="K30" i="18" l="1"/>
  <c r="L30" i="18" s="1"/>
  <c r="J31" i="18" l="1"/>
  <c r="N52" i="18" l="1"/>
  <c r="I53" i="18"/>
  <c r="N53" i="18" l="1"/>
  <c r="I54" i="18"/>
  <c r="N54" i="18" l="1"/>
  <c r="I55" i="18"/>
  <c r="J52" i="18" l="1"/>
  <c r="N55" i="18"/>
  <c r="I56" i="18"/>
  <c r="K52" i="18" l="1"/>
  <c r="L52" i="18" s="1"/>
  <c r="N56" i="18"/>
  <c r="I57" i="18"/>
  <c r="J53" i="18" l="1"/>
  <c r="N57" i="18"/>
  <c r="I58" i="18"/>
  <c r="K53" i="18" l="1"/>
  <c r="L53" i="18" s="1"/>
  <c r="N58" i="18"/>
  <c r="I59" i="18"/>
  <c r="J54" i="18" l="1"/>
  <c r="I60" i="18"/>
  <c r="N59" i="18"/>
  <c r="K54" i="18" l="1"/>
  <c r="L54" i="18" s="1"/>
  <c r="N60" i="18"/>
  <c r="I61" i="18"/>
  <c r="J55" i="18" l="1"/>
  <c r="N61" i="18"/>
  <c r="I62" i="18"/>
  <c r="K55" i="18" l="1"/>
  <c r="L55" i="18" s="1"/>
  <c r="N62" i="18"/>
  <c r="I63" i="18"/>
  <c r="J56" i="18" l="1"/>
  <c r="N63" i="18"/>
  <c r="K56" i="18" l="1"/>
  <c r="L56" i="18" s="1"/>
  <c r="J57" i="18" l="1"/>
  <c r="K57" i="18" s="1"/>
  <c r="L57" i="18" s="1"/>
  <c r="J58" i="18" l="1"/>
  <c r="K58" i="18" s="1"/>
  <c r="L58" i="18" s="1"/>
  <c r="L59" i="18" l="1"/>
  <c r="J59" i="18"/>
  <c r="K59" i="18" s="1"/>
  <c r="L60" i="18" l="1"/>
  <c r="J60" i="18"/>
  <c r="K60" i="18" s="1"/>
  <c r="J61" i="18" l="1"/>
  <c r="K61" i="18" s="1"/>
  <c r="L61" i="18" s="1"/>
  <c r="L62" i="18" l="1"/>
  <c r="J62" i="18"/>
  <c r="K62" i="18" s="1"/>
  <c r="J63" i="18" l="1"/>
  <c r="K63" i="18" l="1"/>
  <c r="L63" i="18" s="1"/>
  <c r="I31" i="18"/>
  <c r="I32" i="18" s="1"/>
  <c r="N31" i="18" l="1"/>
  <c r="N32" i="18"/>
  <c r="I33" i="18"/>
  <c r="K31" i="18"/>
  <c r="L31" i="18" s="1"/>
  <c r="N33" i="18" l="1"/>
  <c r="I34" i="18"/>
  <c r="J32" i="18"/>
  <c r="N34" i="18" l="1"/>
  <c r="I35" i="18"/>
  <c r="K32" i="18"/>
  <c r="L32" i="18" s="1"/>
  <c r="I36" i="18" l="1"/>
  <c r="N35" i="18"/>
  <c r="J33" i="18"/>
  <c r="K33" i="18" l="1"/>
  <c r="L33" i="18" s="1"/>
  <c r="I37" i="18"/>
  <c r="N36" i="18"/>
  <c r="J34" i="18" l="1"/>
  <c r="I38" i="18"/>
  <c r="N37" i="18"/>
  <c r="K34" i="18" l="1"/>
  <c r="L34" i="18" s="1"/>
  <c r="N38" i="18"/>
  <c r="I39" i="18"/>
  <c r="J35" i="18" l="1"/>
  <c r="N39" i="18"/>
  <c r="K35" i="18" l="1"/>
  <c r="L35" i="18" s="1"/>
  <c r="J36" i="18" l="1"/>
  <c r="K36" i="18" l="1"/>
  <c r="L36" i="18" s="1"/>
  <c r="J37" i="18" l="1"/>
  <c r="K37" i="18" s="1"/>
  <c r="L37" i="18" s="1"/>
  <c r="J38" i="18" l="1"/>
  <c r="K38" i="18" s="1"/>
  <c r="L38" i="18" s="1"/>
  <c r="J39" i="18" l="1"/>
  <c r="K39" i="18" l="1"/>
  <c r="L39" i="18" s="1"/>
  <c r="J40" i="18" l="1"/>
  <c r="K18" i="27"/>
  <c r="M18" i="27" s="1"/>
  <c r="N18" i="27" s="1"/>
  <c r="L19" i="27" s="1"/>
  <c r="I40" i="18" l="1"/>
  <c r="I18" i="27"/>
  <c r="J18" i="27" s="1"/>
  <c r="P18" i="27" s="1"/>
  <c r="K19" i="27"/>
  <c r="M19" i="27" s="1"/>
  <c r="N19" i="27" s="1"/>
  <c r="N40" i="18" l="1"/>
  <c r="K40" i="18"/>
  <c r="L40" i="18" s="1"/>
  <c r="I19" i="27"/>
  <c r="J19" i="27" s="1"/>
  <c r="L20" i="27"/>
  <c r="J41" i="18" l="1"/>
  <c r="K20" i="27"/>
  <c r="M20" i="27" s="1"/>
  <c r="N20" i="27" s="1"/>
  <c r="P19" i="27"/>
  <c r="I41" i="18" l="1"/>
  <c r="L21" i="27"/>
  <c r="I20" i="27"/>
  <c r="J20" i="27" s="1"/>
  <c r="N41" i="18" l="1"/>
  <c r="K41" i="18"/>
  <c r="L41" i="18" s="1"/>
  <c r="P20" i="27"/>
  <c r="J42" i="18" l="1"/>
  <c r="K21" i="27"/>
  <c r="M21" i="27" s="1"/>
  <c r="N21" i="27" s="1"/>
  <c r="I21" i="27" s="1"/>
  <c r="J21" i="27" s="1"/>
  <c r="I42" i="18" l="1"/>
  <c r="L22" i="27"/>
  <c r="K22" i="27"/>
  <c r="P21" i="27"/>
  <c r="N42" i="18" l="1"/>
  <c r="K42" i="18"/>
  <c r="L42" i="18" s="1"/>
  <c r="M22" i="27"/>
  <c r="N22" i="27" s="1"/>
  <c r="L23" i="27" s="1"/>
  <c r="J43" i="18" l="1"/>
  <c r="I22" i="27"/>
  <c r="J22" i="27" s="1"/>
  <c r="P22" i="27" s="1"/>
  <c r="K23" i="27"/>
  <c r="M23" i="27" s="1"/>
  <c r="N23" i="27" s="1"/>
  <c r="I43" i="18" l="1"/>
  <c r="L24" i="27"/>
  <c r="I23" i="27"/>
  <c r="J23" i="27" s="1"/>
  <c r="P23" i="27" s="1"/>
  <c r="N43" i="18" l="1"/>
  <c r="K43" i="18"/>
  <c r="L43" i="18" s="1"/>
  <c r="K24" i="27"/>
  <c r="M24" i="27" s="1"/>
  <c r="N24" i="27" s="1"/>
  <c r="L25" i="27" s="1"/>
  <c r="J44" i="18" l="1"/>
  <c r="I24" i="27"/>
  <c r="J24" i="27" s="1"/>
  <c r="P24" i="27" s="1"/>
  <c r="K25" i="27"/>
  <c r="I44" i="18" l="1"/>
  <c r="M25" i="27"/>
  <c r="N25" i="27" s="1"/>
  <c r="K26" i="27"/>
  <c r="N44" i="18" l="1"/>
  <c r="K44" i="18"/>
  <c r="L44" i="18" s="1"/>
  <c r="I25" i="27"/>
  <c r="J25" i="27" s="1"/>
  <c r="L26" i="27"/>
  <c r="M26" i="27" s="1"/>
  <c r="N26" i="27" s="1"/>
  <c r="K27" i="27"/>
  <c r="J45" i="18" l="1"/>
  <c r="I45" i="18" s="1"/>
  <c r="L27" i="27"/>
  <c r="M27" i="27" s="1"/>
  <c r="N27" i="27" s="1"/>
  <c r="I26" i="27"/>
  <c r="J26" i="27" s="1"/>
  <c r="P26" i="27" s="1"/>
  <c r="P25" i="27"/>
  <c r="K28" i="27"/>
  <c r="N45" i="18" l="1"/>
  <c r="K45" i="18"/>
  <c r="L45" i="18" s="1"/>
  <c r="L28" i="27"/>
  <c r="M28" i="27" s="1"/>
  <c r="N28" i="27" s="1"/>
  <c r="I27" i="27"/>
  <c r="J27" i="27" s="1"/>
  <c r="P27" i="27" s="1"/>
  <c r="K29" i="27"/>
  <c r="J46" i="18" l="1"/>
  <c r="I46" i="18" s="1"/>
  <c r="I28" i="27"/>
  <c r="J28" i="27" s="1"/>
  <c r="P28" i="27" s="1"/>
  <c r="L29" i="27"/>
  <c r="M29" i="27" s="1"/>
  <c r="N29" i="27" s="1"/>
  <c r="K30" i="27"/>
  <c r="N46" i="18" l="1"/>
  <c r="K46" i="18"/>
  <c r="L46" i="18" s="1"/>
  <c r="I29" i="27"/>
  <c r="J29" i="27" s="1"/>
  <c r="P29" i="27" s="1"/>
  <c r="L30" i="27"/>
  <c r="M30" i="27" s="1"/>
  <c r="N30" i="27" s="1"/>
  <c r="K31" i="27"/>
  <c r="J47" i="18" l="1"/>
  <c r="I47" i="18" s="1"/>
  <c r="I30" i="27"/>
  <c r="J30" i="27" s="1"/>
  <c r="P30" i="27" s="1"/>
  <c r="L31" i="27"/>
  <c r="M31" i="27" s="1"/>
  <c r="N31" i="27" s="1"/>
  <c r="K32" i="27"/>
  <c r="N47" i="18" l="1"/>
  <c r="K47" i="18"/>
  <c r="L47" i="18" s="1"/>
  <c r="L32" i="27"/>
  <c r="I31" i="27"/>
  <c r="J31" i="27" s="1"/>
  <c r="P31" i="27" s="1"/>
  <c r="K33" i="27"/>
  <c r="J48" i="18" l="1"/>
  <c r="I48" i="18" s="1"/>
  <c r="K34" i="27"/>
  <c r="M32" i="27"/>
  <c r="N32" i="27" s="1"/>
  <c r="N48" i="18" l="1"/>
  <c r="K48" i="18"/>
  <c r="L48" i="18" s="1"/>
  <c r="K35" i="27"/>
  <c r="L33" i="27"/>
  <c r="I32" i="27"/>
  <c r="J32" i="27" s="1"/>
  <c r="P32" i="27" s="1"/>
  <c r="J49" i="18" l="1"/>
  <c r="I49" i="18" s="1"/>
  <c r="K36" i="27"/>
  <c r="M33" i="27"/>
  <c r="N33" i="27" s="1"/>
  <c r="N49" i="18" l="1"/>
  <c r="K49" i="18"/>
  <c r="L49" i="18" s="1"/>
  <c r="K37" i="27"/>
  <c r="L34" i="27"/>
  <c r="I33" i="27"/>
  <c r="J33" i="27" s="1"/>
  <c r="P33" i="27" s="1"/>
  <c r="J50" i="18" l="1"/>
  <c r="I50" i="18" s="1"/>
  <c r="K38" i="27"/>
  <c r="M34" i="27"/>
  <c r="N34" i="27" s="1"/>
  <c r="K50" i="18" l="1"/>
  <c r="L50" i="18" s="1"/>
  <c r="J51" i="18" s="1"/>
  <c r="J13" i="18" s="1"/>
  <c r="N50" i="18"/>
  <c r="I51" i="18"/>
  <c r="K39" i="27"/>
  <c r="I34" i="27"/>
  <c r="J34" i="27" s="1"/>
  <c r="P34" i="27" s="1"/>
  <c r="L35" i="27"/>
  <c r="I52" i="18" l="1"/>
  <c r="I13" i="18" s="1"/>
  <c r="K13" i="18" s="1"/>
  <c r="N51" i="18"/>
  <c r="Y30" i="18" s="1"/>
  <c r="Y34" i="18" s="1"/>
  <c r="K51" i="18"/>
  <c r="L51" i="18" s="1"/>
  <c r="K40" i="27"/>
  <c r="M35" i="27"/>
  <c r="N35" i="27" s="1"/>
  <c r="D36" i="18" l="1"/>
  <c r="T63" i="18"/>
  <c r="D37" i="18" s="1"/>
  <c r="E36" i="18" s="1"/>
  <c r="U55" i="18"/>
  <c r="K41" i="27"/>
  <c r="L36" i="27"/>
  <c r="I35" i="27"/>
  <c r="K42" i="27" l="1"/>
  <c r="M36" i="27"/>
  <c r="N36" i="27" s="1"/>
  <c r="J35" i="27"/>
  <c r="P35" i="27" s="1"/>
  <c r="K43" i="27" l="1"/>
  <c r="L37" i="27"/>
  <c r="M37" i="27" s="1"/>
  <c r="N37" i="27" s="1"/>
  <c r="I36" i="27"/>
  <c r="J36" i="27" s="1"/>
  <c r="P36" i="27" s="1"/>
  <c r="K44" i="27" l="1"/>
  <c r="L38" i="27"/>
  <c r="M38" i="27" s="1"/>
  <c r="N38" i="27" s="1"/>
  <c r="I37" i="27"/>
  <c r="J37" i="27" s="1"/>
  <c r="P37" i="27" s="1"/>
  <c r="K45" i="27" l="1"/>
  <c r="L39" i="27"/>
  <c r="M39" i="27" s="1"/>
  <c r="N39" i="27" s="1"/>
  <c r="I38" i="27"/>
  <c r="J38" i="27" s="1"/>
  <c r="P38" i="27" s="1"/>
  <c r="K46" i="27" l="1"/>
  <c r="I39" i="27"/>
  <c r="J39" i="27" s="1"/>
  <c r="P39" i="27" s="1"/>
  <c r="L40" i="27"/>
  <c r="M40" i="27" s="1"/>
  <c r="N40" i="27" s="1"/>
  <c r="K47" i="27" l="1"/>
  <c r="L41" i="27"/>
  <c r="M41" i="27" s="1"/>
  <c r="N41" i="27" s="1"/>
  <c r="I40" i="27"/>
  <c r="J40" i="27" s="1"/>
  <c r="P40" i="27" s="1"/>
  <c r="I41" i="27" l="1"/>
  <c r="J41" i="27" s="1"/>
  <c r="P41" i="27" s="1"/>
  <c r="L42" i="27"/>
  <c r="M42" i="27" s="1"/>
  <c r="N42" i="27" s="1"/>
  <c r="K48" i="27"/>
  <c r="L43" i="27" l="1"/>
  <c r="M43" i="27" s="1"/>
  <c r="N43" i="27" s="1"/>
  <c r="I42" i="27"/>
  <c r="J42" i="27" s="1"/>
  <c r="P42" i="27" s="1"/>
  <c r="K49" i="27"/>
  <c r="L44" i="27" l="1"/>
  <c r="M44" i="27" s="1"/>
  <c r="N44" i="27" s="1"/>
  <c r="I43" i="27"/>
  <c r="J43" i="27" s="1"/>
  <c r="P43" i="27" s="1"/>
  <c r="K50" i="27"/>
  <c r="L45" i="27" l="1"/>
  <c r="M45" i="27" s="1"/>
  <c r="N45" i="27" s="1"/>
  <c r="I44" i="27"/>
  <c r="J44" i="27" s="1"/>
  <c r="P44" i="27" s="1"/>
  <c r="K51" i="27"/>
  <c r="L46" i="27" l="1"/>
  <c r="M46" i="27" s="1"/>
  <c r="N46" i="27" s="1"/>
  <c r="I45" i="27"/>
  <c r="J45" i="27" s="1"/>
  <c r="P45" i="27" s="1"/>
  <c r="K52" i="27"/>
  <c r="L47" i="27" l="1"/>
  <c r="M47" i="27" s="1"/>
  <c r="N47" i="27" s="1"/>
  <c r="I46" i="27"/>
  <c r="J46" i="27" s="1"/>
  <c r="P46" i="27" s="1"/>
  <c r="K53" i="27"/>
  <c r="L48" i="27" l="1"/>
  <c r="M48" i="27" s="1"/>
  <c r="N48" i="27" s="1"/>
  <c r="I47" i="27"/>
  <c r="J47" i="27" s="1"/>
  <c r="P47" i="27" s="1"/>
  <c r="K15" i="27"/>
  <c r="L49" i="27" l="1"/>
  <c r="M49" i="27" s="1"/>
  <c r="N49" i="27" s="1"/>
  <c r="I48" i="27"/>
  <c r="J48" i="27" s="1"/>
  <c r="P48" i="27" s="1"/>
  <c r="I49" i="27" l="1"/>
  <c r="J49" i="27" s="1"/>
  <c r="P49" i="27" s="1"/>
  <c r="L50" i="27"/>
  <c r="M50" i="27" s="1"/>
  <c r="N50" i="27" s="1"/>
  <c r="L51" i="27" l="1"/>
  <c r="M51" i="27" s="1"/>
  <c r="N51" i="27" s="1"/>
  <c r="I50" i="27"/>
  <c r="J50" i="27" s="1"/>
  <c r="P50" i="27" s="1"/>
  <c r="L52" i="27" l="1"/>
  <c r="M52" i="27" s="1"/>
  <c r="N52" i="27" s="1"/>
  <c r="I51" i="27"/>
  <c r="J51" i="27" s="1"/>
  <c r="P51" i="27" s="1"/>
  <c r="L53" i="27" l="1"/>
  <c r="I52" i="27"/>
  <c r="J52" i="27" s="1"/>
  <c r="P52" i="27" s="1"/>
  <c r="M53" i="27" l="1"/>
  <c r="N53" i="27" s="1"/>
  <c r="I53" i="27" s="1"/>
  <c r="L15" i="27"/>
  <c r="M15" i="27" s="1"/>
  <c r="J54" i="27" l="1"/>
  <c r="J53" i="27"/>
  <c r="P53" i="27" s="1"/>
  <c r="AA32" i="27" s="1"/>
  <c r="AA36" i="27" s="1"/>
  <c r="D40" i="27" l="1"/>
  <c r="V65" i="27"/>
  <c r="D41" i="27" s="1"/>
  <c r="E40" i="27" s="1"/>
  <c r="W57" i="27"/>
</calcChain>
</file>

<file path=xl/comments1.xml><?xml version="1.0" encoding="utf-8"?>
<comments xmlns="http://schemas.openxmlformats.org/spreadsheetml/2006/main">
  <authors>
    <author>pafreire</author>
  </authors>
  <commentList>
    <comment ref="D17" authorId="0" shapeId="0">
      <text>
        <r>
          <rPr>
            <b/>
            <sz val="10"/>
            <color indexed="81"/>
            <rFont val="Tahoma"/>
            <family val="2"/>
          </rPr>
          <t>Elegir el segmento que desea analizar</t>
        </r>
        <r>
          <rPr>
            <sz val="9"/>
            <color indexed="81"/>
            <rFont val="Tahoma"/>
            <family val="2"/>
          </rPr>
          <t xml:space="preserve">
</t>
        </r>
      </text>
    </comment>
    <comment ref="D19" authorId="0" shapeId="0">
      <text>
        <r>
          <rPr>
            <b/>
            <sz val="10"/>
            <color indexed="81"/>
            <rFont val="Tahoma"/>
            <family val="2"/>
          </rPr>
          <t>Elija el tipo de tabla de amortización que desea analizar</t>
        </r>
        <r>
          <rPr>
            <b/>
            <sz val="9"/>
            <color indexed="81"/>
            <rFont val="Tahoma"/>
            <family val="2"/>
          </rPr>
          <t xml:space="preserve">
</t>
        </r>
      </text>
    </comment>
    <comment ref="D21" authorId="0" shapeId="0">
      <text>
        <r>
          <rPr>
            <b/>
            <sz val="10"/>
            <color indexed="81"/>
            <rFont val="Tahoma"/>
            <family val="2"/>
          </rPr>
          <t>Elija la frecuencia de pago de sus cuotas</t>
        </r>
      </text>
    </comment>
  </commentList>
</comments>
</file>

<file path=xl/comments2.xml><?xml version="1.0" encoding="utf-8"?>
<comments xmlns="http://schemas.openxmlformats.org/spreadsheetml/2006/main">
  <authors>
    <author>pafreire</author>
  </authors>
  <commentList>
    <comment ref="D19" authorId="0" shapeId="0">
      <text>
        <r>
          <rPr>
            <b/>
            <sz val="10"/>
            <color indexed="81"/>
            <rFont val="Tahoma"/>
            <family val="2"/>
          </rPr>
          <t>Elegir el segmento que desea analizar</t>
        </r>
        <r>
          <rPr>
            <sz val="9"/>
            <color indexed="81"/>
            <rFont val="Tahoma"/>
            <family val="2"/>
          </rPr>
          <t xml:space="preserve">
</t>
        </r>
      </text>
    </comment>
    <comment ref="D21" authorId="0" shapeId="0">
      <text>
        <r>
          <rPr>
            <b/>
            <sz val="10"/>
            <color indexed="81"/>
            <rFont val="Tahoma"/>
            <family val="2"/>
          </rPr>
          <t>Elija el tipo de tabla de amortización que desea analizar</t>
        </r>
        <r>
          <rPr>
            <b/>
            <sz val="9"/>
            <color indexed="81"/>
            <rFont val="Tahoma"/>
            <family val="2"/>
          </rPr>
          <t xml:space="preserve">
</t>
        </r>
      </text>
    </comment>
    <comment ref="D23" authorId="0" shapeId="0">
      <text>
        <r>
          <rPr>
            <b/>
            <sz val="10"/>
            <color indexed="81"/>
            <rFont val="Tahoma"/>
            <family val="2"/>
          </rPr>
          <t>Elija la frecuencia de pago de sus cuotas</t>
        </r>
      </text>
    </comment>
  </commentList>
</comments>
</file>

<file path=xl/comments3.xml><?xml version="1.0" encoding="utf-8"?>
<comments xmlns="http://schemas.openxmlformats.org/spreadsheetml/2006/main">
  <authors>
    <author>pafreire</author>
  </authors>
  <commentList>
    <comment ref="D19" authorId="0" shapeId="0">
      <text>
        <r>
          <rPr>
            <b/>
            <sz val="10"/>
            <color indexed="81"/>
            <rFont val="Tahoma"/>
            <family val="2"/>
          </rPr>
          <t>Elegir el segmento que desea analizar</t>
        </r>
        <r>
          <rPr>
            <sz val="9"/>
            <color indexed="81"/>
            <rFont val="Tahoma"/>
            <family val="2"/>
          </rPr>
          <t xml:space="preserve">
</t>
        </r>
      </text>
    </comment>
    <comment ref="D21" authorId="0" shapeId="0">
      <text>
        <r>
          <rPr>
            <b/>
            <sz val="10"/>
            <color indexed="81"/>
            <rFont val="Tahoma"/>
            <family val="2"/>
          </rPr>
          <t>Elija el tipo de tabla de amortización que desea analizar</t>
        </r>
        <r>
          <rPr>
            <b/>
            <sz val="9"/>
            <color indexed="81"/>
            <rFont val="Tahoma"/>
            <family val="2"/>
          </rPr>
          <t xml:space="preserve">
</t>
        </r>
      </text>
    </comment>
    <comment ref="D23" authorId="0" shapeId="0">
      <text>
        <r>
          <rPr>
            <b/>
            <sz val="10"/>
            <color indexed="81"/>
            <rFont val="Tahoma"/>
            <family val="2"/>
          </rPr>
          <t>Elija la frecuencia de pago de sus cuotas</t>
        </r>
      </text>
    </comment>
  </commentList>
</comments>
</file>

<file path=xl/comments4.xml><?xml version="1.0" encoding="utf-8"?>
<comments xmlns="http://schemas.openxmlformats.org/spreadsheetml/2006/main">
  <authors>
    <author>pafreire</author>
  </authors>
  <commentList>
    <comment ref="D19" authorId="0" shapeId="0">
      <text>
        <r>
          <rPr>
            <b/>
            <sz val="10"/>
            <color indexed="81"/>
            <rFont val="Tahoma"/>
            <family val="2"/>
          </rPr>
          <t>Elegir el segmento que desea analizar</t>
        </r>
        <r>
          <rPr>
            <sz val="9"/>
            <color indexed="81"/>
            <rFont val="Tahoma"/>
            <family val="2"/>
          </rPr>
          <t xml:space="preserve">
</t>
        </r>
      </text>
    </comment>
    <comment ref="D21" authorId="0" shapeId="0">
      <text>
        <r>
          <rPr>
            <b/>
            <sz val="10"/>
            <color indexed="81"/>
            <rFont val="Tahoma"/>
            <family val="2"/>
          </rPr>
          <t>Elija el tipo de tabla de amortización que desea analizar</t>
        </r>
        <r>
          <rPr>
            <b/>
            <sz val="9"/>
            <color indexed="81"/>
            <rFont val="Tahoma"/>
            <family val="2"/>
          </rPr>
          <t xml:space="preserve">
</t>
        </r>
      </text>
    </comment>
    <comment ref="D23" authorId="0" shapeId="0">
      <text>
        <r>
          <rPr>
            <b/>
            <sz val="10"/>
            <color indexed="81"/>
            <rFont val="Tahoma"/>
            <family val="2"/>
          </rPr>
          <t>Elija la frecuencia de pago de sus cuotas</t>
        </r>
      </text>
    </comment>
  </commentList>
</comments>
</file>

<file path=xl/comments5.xml><?xml version="1.0" encoding="utf-8"?>
<comments xmlns="http://schemas.openxmlformats.org/spreadsheetml/2006/main">
  <authors>
    <author>pafreire</author>
  </authors>
  <commentList>
    <comment ref="D17" authorId="0" shapeId="0">
      <text>
        <r>
          <rPr>
            <b/>
            <sz val="10"/>
            <color indexed="81"/>
            <rFont val="Tahoma"/>
            <family val="2"/>
          </rPr>
          <t>Elegir el segmento que desea analizar</t>
        </r>
        <r>
          <rPr>
            <sz val="9"/>
            <color indexed="81"/>
            <rFont val="Tahoma"/>
            <family val="2"/>
          </rPr>
          <t xml:space="preserve">
</t>
        </r>
      </text>
    </comment>
    <comment ref="D19" authorId="0" shapeId="0">
      <text>
        <r>
          <rPr>
            <b/>
            <sz val="10"/>
            <color indexed="81"/>
            <rFont val="Tahoma"/>
            <family val="2"/>
          </rPr>
          <t>Elija el tipo de tabla de amortización que desea analizar</t>
        </r>
        <r>
          <rPr>
            <b/>
            <sz val="9"/>
            <color indexed="81"/>
            <rFont val="Tahoma"/>
            <family val="2"/>
          </rPr>
          <t xml:space="preserve">
</t>
        </r>
      </text>
    </comment>
    <comment ref="D20" authorId="0" shapeId="0">
      <text>
        <r>
          <rPr>
            <b/>
            <sz val="10"/>
            <color indexed="81"/>
            <rFont val="Tahoma"/>
            <family val="2"/>
          </rPr>
          <t>Ingresar el número de períodos de gracias</t>
        </r>
      </text>
    </comment>
    <comment ref="D22" authorId="0" shapeId="0">
      <text>
        <r>
          <rPr>
            <b/>
            <sz val="10"/>
            <color indexed="81"/>
            <rFont val="Tahoma"/>
            <family val="2"/>
          </rPr>
          <t>Elija la frecuencia de pago de sus cuotas</t>
        </r>
      </text>
    </comment>
  </commentList>
</comments>
</file>

<file path=xl/sharedStrings.xml><?xml version="1.0" encoding="utf-8"?>
<sst xmlns="http://schemas.openxmlformats.org/spreadsheetml/2006/main" count="423" uniqueCount="122">
  <si>
    <t>TEA</t>
  </si>
  <si>
    <t>Frecuencia de Pago</t>
  </si>
  <si>
    <t xml:space="preserve">Mensual </t>
  </si>
  <si>
    <t>Cuota</t>
  </si>
  <si>
    <t>Tablas de amortización</t>
  </si>
  <si>
    <t>Periodo</t>
  </si>
  <si>
    <t>Interes</t>
  </si>
  <si>
    <t>Amortización</t>
  </si>
  <si>
    <t>Saldo</t>
  </si>
  <si>
    <t>Comisión</t>
  </si>
  <si>
    <t>Flujo de pagos</t>
  </si>
  <si>
    <t>TIR Mensual</t>
  </si>
  <si>
    <t>TIR Anual</t>
  </si>
  <si>
    <t>TIR (Anual)</t>
  </si>
  <si>
    <t>TEA (Anual)</t>
  </si>
  <si>
    <t>Moneda :</t>
  </si>
  <si>
    <t>USD-DOLARES USA</t>
  </si>
  <si>
    <t>Reajustable:</t>
  </si>
  <si>
    <t>Sí</t>
  </si>
  <si>
    <t>Tasa de interes nominal:</t>
  </si>
  <si>
    <t>Comisión administrativa:</t>
  </si>
  <si>
    <t>Comisión anticipada:</t>
  </si>
  <si>
    <t>Comisión con cuota:</t>
  </si>
  <si>
    <t>Actividad económica:</t>
  </si>
  <si>
    <t>Factor de ajuste:</t>
  </si>
  <si>
    <t>Plazo (días):</t>
  </si>
  <si>
    <t>Monto:</t>
  </si>
  <si>
    <t>Vidrio</t>
  </si>
  <si>
    <t>Destino del crédito:</t>
  </si>
  <si>
    <t>Capital de Trabajo</t>
  </si>
  <si>
    <t>Mecanismo Operativo:</t>
  </si>
  <si>
    <t>Operación directa</t>
  </si>
  <si>
    <t>Nivel de ventas:</t>
  </si>
  <si>
    <t>DATO</t>
  </si>
  <si>
    <t>CARACTERISTICA</t>
  </si>
  <si>
    <t>TEA máxmia BCE segmento comercial Pymes:</t>
  </si>
  <si>
    <t>SEGMENTO DEL CRÉDITO</t>
  </si>
  <si>
    <t>*Si la tasa es reajustable la tabla de amortización es referencial</t>
  </si>
  <si>
    <t xml:space="preserve">COMERCIAL </t>
  </si>
  <si>
    <t>Primera renta:</t>
  </si>
  <si>
    <t>Tasa pasiva referencial+8.33</t>
  </si>
  <si>
    <t>Impuesto (IVA):</t>
  </si>
  <si>
    <t>Impuesto</t>
  </si>
  <si>
    <t>Dividendo</t>
  </si>
  <si>
    <t>Valor del Bien:</t>
  </si>
  <si>
    <t>SISTEMA DE TASAS DE INTERÉS</t>
  </si>
  <si>
    <t>DATOS DEL CRÉDITO</t>
  </si>
  <si>
    <t>Plazo (años):</t>
  </si>
  <si>
    <t>Tipo de Crédito</t>
  </si>
  <si>
    <t>Productivo Corporativo</t>
  </si>
  <si>
    <t>Productivo Empresarial</t>
  </si>
  <si>
    <t>Microcrédito Minorista</t>
  </si>
  <si>
    <t>Microcrédito Acumulación Simple</t>
  </si>
  <si>
    <t>Microcrédito Acumulación Ampliada</t>
  </si>
  <si>
    <t>Productivo PYMES</t>
  </si>
  <si>
    <t>TEA máxima BCE del Segmento</t>
  </si>
  <si>
    <t>Período de Pago</t>
  </si>
  <si>
    <t>Pagos:</t>
  </si>
  <si>
    <t>Pagos por Año:</t>
  </si>
  <si>
    <t>ESTADÍSTICA MONETARIAS</t>
  </si>
  <si>
    <t>Dirección Nacional de Síntesis Macroeconómica</t>
  </si>
  <si>
    <t>Sistema de Tasas de Interés</t>
  </si>
  <si>
    <t>Créditos con encaje</t>
  </si>
  <si>
    <t>Francesa</t>
  </si>
  <si>
    <t>DIRECCIÓN NACIONAL DE SÍNTESIS MACROECONÓMICA</t>
  </si>
  <si>
    <t>Regresar</t>
  </si>
  <si>
    <t>Comercial Ordinario</t>
  </si>
  <si>
    <t>Comercial Prioritario Corporativo</t>
  </si>
  <si>
    <t>Comercial Prioritario Empresarial</t>
  </si>
  <si>
    <t>Comercial Prioritario Pymes</t>
  </si>
  <si>
    <t>Consumo Ordinario</t>
  </si>
  <si>
    <t>Consumo Prioritario</t>
  </si>
  <si>
    <t>Educativo</t>
  </si>
  <si>
    <t>Vivienda de Interés Público</t>
  </si>
  <si>
    <t>Inmobiliario</t>
  </si>
  <si>
    <t>Tipo de Tabla de Amortización</t>
  </si>
  <si>
    <t>Alemana</t>
  </si>
  <si>
    <t>Mensual</t>
  </si>
  <si>
    <t>Bimensual</t>
  </si>
  <si>
    <t>Cuatrimestral</t>
  </si>
  <si>
    <t>Anual</t>
  </si>
  <si>
    <t>Trimestral</t>
  </si>
  <si>
    <t>Semestral</t>
  </si>
  <si>
    <t>Total Final del Crédito</t>
  </si>
  <si>
    <t>Total Interés</t>
  </si>
  <si>
    <t>Total Amortización</t>
  </si>
  <si>
    <t>Tasa Interna de Retorno: TIR</t>
  </si>
  <si>
    <t>Donde:</t>
  </si>
  <si>
    <t>Formula Excel</t>
  </si>
  <si>
    <t>=TIR(N15:N315;)</t>
  </si>
  <si>
    <t>=Q37*360/$D$30</t>
  </si>
  <si>
    <t>Forma de Cálculo de la TIR</t>
  </si>
  <si>
    <t>Forma de Cálculo de la TEA</t>
  </si>
  <si>
    <t>Tasa Efectiva Activa: TEA</t>
  </si>
  <si>
    <t>Quincenal</t>
  </si>
  <si>
    <t>EJEMPLO DE UNA TABLA DE AMORTIZACIÓN PARA DIREFENTES CRÉDITOS</t>
  </si>
  <si>
    <t>Tabla de Amortización para diferentes créditos y plazo</t>
  </si>
  <si>
    <t>Caso I</t>
  </si>
  <si>
    <t>Encaje que se puede retirar una vez que haya terminado de pagar la totalidad del crédito</t>
  </si>
  <si>
    <t>El otorgamiento de este tipo de crédito esta condicionado a un deposito realizado al inicio del crédito (Encaje), el mismo que es devuelto al acreditado en el periodo que finaliza el crédito</t>
  </si>
  <si>
    <t>Caso II</t>
  </si>
  <si>
    <t>El valor encajado debe ser siempre superior a un porcentaje de la deuda pendiente</t>
  </si>
  <si>
    <t>En este tipo de crédito el encaje debe mantener periodo a periodo un porcentaje fijo del saldo insoluto del crédito.</t>
  </si>
  <si>
    <t>Caso III</t>
  </si>
  <si>
    <t>Encaje que puede ser retirado al siguiente día después de haber otorgado el crédito</t>
  </si>
  <si>
    <t>En este tipo de crédito el encaje es requisito principal para el otorgamiento del crédito, ya que con esto la institución financiera evidencia que el solicitante del crédito dispone de recursos para incurrir en su negocio, el encaje es devuelto en el dia posterior a la firma del contrato.</t>
  </si>
  <si>
    <t>Encaje</t>
  </si>
  <si>
    <t>Devolución del Encaje</t>
  </si>
  <si>
    <t>ENCAJE QUE SE PUEDE RETIRAR UNA VEZ QUE SE HAYA TERMINADO DE PAGAR LA TOTALIDAD DEL CRÉDITO</t>
  </si>
  <si>
    <t>Tasa Pasiva: pago de encaje</t>
  </si>
  <si>
    <t>Porcentaje de Encaje requerido</t>
  </si>
  <si>
    <t>Encaje + Tasa Pasiva</t>
  </si>
  <si>
    <t xml:space="preserve">EL VALOR DEL ENCAJE DEBE SER SIEMPRE SUPERIOR A UN PORCENTAJE DE LA DEUDA PENDIENTE </t>
  </si>
  <si>
    <t>ENCAJE QUE PUEDE SER RETIRADA AL SIGUIENTE DÍA DESPUÉS DE HABER OTORGADO EL CRÉDITO</t>
  </si>
  <si>
    <t>Créditos con período de gracia</t>
  </si>
  <si>
    <t>EJEMPLO DE UNA TABLA DE AMORTIZACIÓN CON PERÍODO DE GRACIA</t>
  </si>
  <si>
    <t>Tipo de Período de Gracia</t>
  </si>
  <si>
    <t>Nº período de gracia</t>
  </si>
  <si>
    <t>Período de Gracia Total</t>
  </si>
  <si>
    <t>Período de Gracia Parcial</t>
  </si>
  <si>
    <t>Capital Vivo</t>
  </si>
  <si>
    <t>Capital amortizado</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</si>
</sst>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quot;$&quot;#,##0_);[Red]\(&quot;$&quot;#,##0\)"/>
    <numFmt numFmtId="165" formatCode="&quot;$&quot;#,##0.00_);[Red]\(&quot;$&quot;#,##0.00\)"/>
    <numFmt numFmtId="166" formatCode="0.0%"/>
    <numFmt numFmtId="167" formatCode="&quot;$&quot;#,##0.00"/>
    <numFmt numFmtId="168" formatCode="0.0000000000"/>
    <numFmt numFmtId="169" formatCode="0.000%"/>
    <numFmt numFmtId="170" formatCode="0.0000000"/>
  </numFmts>
  <fonts count="73" x14ac:knownFonts="1">
    <font>
      <sz val="10"/>
      <name val="Arial"/>
    </font>
    <font>
      <sz val="10"/>
      <name val="Arial"/>
      <family val="2"/>
    </font>
    <font>
      <b/>
      <sz val="12"/>
      <name val="Arial"/>
      <family val="2"/>
    </font>
    <font>
      <sz val="12"/>
      <name val="Arial"/>
      <family val="2"/>
    </font>
    <font>
      <i/>
      <sz val="10"/>
      <name val="Arial"/>
      <family val="2"/>
    </font>
    <font>
      <b/>
      <i/>
      <sz val="10"/>
      <name val="Arial"/>
      <family val="2"/>
    </font>
    <font>
      <sz val="16"/>
      <name val="Arial"/>
      <family val="2"/>
    </font>
    <font>
      <u/>
      <sz val="10"/>
      <color indexed="12"/>
      <name val="Arial"/>
      <family val="2"/>
    </font>
    <font>
      <b/>
      <sz val="11"/>
      <name val="Arial"/>
      <family val="2"/>
    </font>
    <font>
      <sz val="10"/>
      <color indexed="9"/>
      <name val="Arial"/>
      <family val="2"/>
    </font>
    <font>
      <b/>
      <sz val="10"/>
      <color indexed="43"/>
      <name val="Arial"/>
      <family val="2"/>
    </font>
    <font>
      <b/>
      <i/>
      <sz val="9"/>
      <color indexed="9"/>
      <name val="Arial"/>
      <family val="2"/>
    </font>
    <font>
      <b/>
      <i/>
      <sz val="10"/>
      <name val="Arial"/>
      <family val="2"/>
    </font>
    <font>
      <b/>
      <sz val="10"/>
      <name val="Arial"/>
      <family val="2"/>
    </font>
    <font>
      <sz val="11"/>
      <color indexed="8"/>
      <name val="Calibri"/>
      <family val="2"/>
    </font>
    <font>
      <sz val="11"/>
      <color indexed="9"/>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20"/>
      <name val="Calibri"/>
      <family val="2"/>
    </font>
    <font>
      <sz val="11"/>
      <color indexed="60"/>
      <name val="Calibri"/>
      <family val="2"/>
    </font>
    <font>
      <b/>
      <sz val="11"/>
      <color indexed="63"/>
      <name val="Calibri"/>
      <family val="2"/>
    </font>
    <font>
      <sz val="11"/>
      <color indexed="10"/>
      <name val="Calibri"/>
      <family val="2"/>
    </font>
    <font>
      <i/>
      <sz val="11"/>
      <color indexed="23"/>
      <name val="Calibri"/>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sz val="9"/>
      <color indexed="81"/>
      <name val="Tahoma"/>
      <family val="2"/>
    </font>
    <font>
      <b/>
      <sz val="9"/>
      <color indexed="81"/>
      <name val="Tahoma"/>
      <family val="2"/>
    </font>
    <font>
      <sz val="11"/>
      <color theme="0"/>
      <name val="Garamond"/>
      <family val="1"/>
    </font>
    <font>
      <b/>
      <sz val="20"/>
      <color theme="0"/>
      <name val="Garamond"/>
      <family val="1"/>
    </font>
    <font>
      <sz val="10"/>
      <name val="Garamond"/>
      <family val="1"/>
    </font>
    <font>
      <b/>
      <sz val="16"/>
      <color theme="0"/>
      <name val="Garamond"/>
      <family val="1"/>
    </font>
    <font>
      <b/>
      <i/>
      <sz val="22"/>
      <color theme="3"/>
      <name val="Garamond"/>
      <family val="1"/>
    </font>
    <font>
      <b/>
      <i/>
      <sz val="16"/>
      <color theme="3"/>
      <name val="Garamond"/>
      <family val="1"/>
    </font>
    <font>
      <b/>
      <u/>
      <sz val="11"/>
      <color indexed="12"/>
      <name val="Garamond"/>
      <family val="1"/>
    </font>
    <font>
      <sz val="10"/>
      <color indexed="9"/>
      <name val="Garamond"/>
      <family val="1"/>
    </font>
    <font>
      <b/>
      <sz val="20"/>
      <name val="Garamond"/>
      <family val="1"/>
    </font>
    <font>
      <sz val="16"/>
      <name val="Garamond"/>
      <family val="1"/>
    </font>
    <font>
      <b/>
      <i/>
      <sz val="11"/>
      <color indexed="16"/>
      <name val="Garamond"/>
      <family val="1"/>
    </font>
    <font>
      <sz val="11"/>
      <name val="Garamond"/>
      <family val="1"/>
    </font>
    <font>
      <b/>
      <sz val="11"/>
      <name val="Garamond"/>
      <family val="1"/>
    </font>
    <font>
      <b/>
      <i/>
      <sz val="11"/>
      <name val="Garamond"/>
      <family val="1"/>
    </font>
    <font>
      <i/>
      <sz val="11"/>
      <name val="Garamond"/>
      <family val="1"/>
    </font>
    <font>
      <b/>
      <sz val="10"/>
      <name val="Garamond"/>
      <family val="1"/>
    </font>
    <font>
      <sz val="11"/>
      <color indexed="8"/>
      <name val="Garamond"/>
      <family val="1"/>
    </font>
    <font>
      <sz val="11"/>
      <color indexed="9"/>
      <name val="Garamond"/>
      <family val="1"/>
    </font>
    <font>
      <b/>
      <sz val="12"/>
      <name val="Garamond"/>
      <family val="1"/>
    </font>
    <font>
      <sz val="22"/>
      <name val="Garamond"/>
      <family val="1"/>
    </font>
    <font>
      <b/>
      <sz val="11"/>
      <color indexed="10"/>
      <name val="Garamond"/>
      <family val="1"/>
    </font>
    <font>
      <b/>
      <sz val="11"/>
      <color rgb="FFFF0000"/>
      <name val="Garamond"/>
      <family val="1"/>
    </font>
    <font>
      <b/>
      <sz val="11"/>
      <color indexed="12"/>
      <name val="Garamond"/>
      <family val="1"/>
    </font>
    <font>
      <sz val="10"/>
      <color rgb="FFFF0000"/>
      <name val="Garamond"/>
      <family val="1"/>
    </font>
    <font>
      <sz val="11"/>
      <color rgb="FFFF0000"/>
      <name val="Garamond"/>
      <family val="1"/>
    </font>
    <font>
      <b/>
      <sz val="14"/>
      <name val="Garamond"/>
      <family val="1"/>
    </font>
    <font>
      <b/>
      <sz val="11"/>
      <color theme="4"/>
      <name val="Garamond"/>
      <family val="1"/>
    </font>
    <font>
      <b/>
      <sz val="11"/>
      <color theme="0"/>
      <name val="Garamond"/>
      <family val="1"/>
    </font>
    <font>
      <b/>
      <sz val="10"/>
      <color indexed="81"/>
      <name val="Tahoma"/>
      <family val="2"/>
    </font>
    <font>
      <sz val="10"/>
      <color theme="0"/>
      <name val="Garamond"/>
      <family val="1"/>
    </font>
    <font>
      <b/>
      <sz val="11"/>
      <color indexed="8"/>
      <name val="Garamond"/>
      <family val="1"/>
    </font>
    <font>
      <b/>
      <sz val="16"/>
      <name val="Garamond"/>
      <family val="1"/>
    </font>
    <font>
      <sz val="12"/>
      <name val="Garamond"/>
      <family val="1"/>
    </font>
    <font>
      <b/>
      <sz val="18"/>
      <name val="Garamond"/>
      <family val="1"/>
    </font>
    <font>
      <b/>
      <sz val="14"/>
      <name val="Arial"/>
      <family val="2"/>
    </font>
    <font>
      <b/>
      <sz val="12"/>
      <color theme="0"/>
      <name val="Garamond"/>
      <family val="1"/>
    </font>
    <font>
      <b/>
      <u/>
      <sz val="10"/>
      <color indexed="12"/>
      <name val="Arial"/>
      <family val="2"/>
    </font>
    <font>
      <b/>
      <i/>
      <sz val="12"/>
      <color indexed="12"/>
      <name val="Garamond"/>
      <family val="1"/>
    </font>
    <font>
      <b/>
      <i/>
      <sz val="12"/>
      <color indexed="12"/>
      <name val="Arial"/>
      <family val="2"/>
    </font>
    <font>
      <b/>
      <u/>
      <sz val="14"/>
      <color indexed="12"/>
      <name val="Arial"/>
      <family val="2"/>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55"/>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3"/>
      </patternFill>
    </fill>
    <fill>
      <patternFill patternType="solid">
        <fgColor indexed="26"/>
      </patternFill>
    </fill>
    <fill>
      <patternFill patternType="solid">
        <fgColor indexed="21"/>
        <bgColor indexed="24"/>
      </patternFill>
    </fill>
    <fill>
      <patternFill patternType="solid">
        <fgColor indexed="8"/>
        <bgColor indexed="2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4" tint="-0.249977111117893"/>
        <bgColor indexed="64"/>
      </patternFill>
    </fill>
  </fills>
  <borders count="4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style="thick">
        <color indexed="21"/>
      </left>
      <right/>
      <top style="thin">
        <color indexed="15"/>
      </top>
      <bottom/>
      <diagonal/>
    </border>
    <border>
      <left/>
      <right style="thick">
        <color indexed="21"/>
      </right>
      <top style="thin">
        <color indexed="15"/>
      </top>
      <bottom/>
      <diagonal/>
    </border>
    <border>
      <left/>
      <right style="thick">
        <color indexed="21"/>
      </right>
      <top style="thin">
        <color indexed="15"/>
      </top>
      <bottom style="thick">
        <color indexed="21"/>
      </bottom>
      <diagonal/>
    </border>
    <border>
      <left style="thick">
        <color indexed="21"/>
      </left>
      <right/>
      <top/>
      <bottom/>
      <diagonal/>
    </border>
    <border>
      <left/>
      <right style="thick">
        <color indexed="21"/>
      </right>
      <top/>
      <bottom/>
      <diagonal/>
    </border>
    <border>
      <left style="thick">
        <color indexed="21"/>
      </left>
      <right/>
      <top style="thick">
        <color indexed="21"/>
      </top>
      <bottom/>
      <diagonal/>
    </border>
    <border>
      <left/>
      <right style="thick">
        <color indexed="21"/>
      </right>
      <top style="thick">
        <color indexed="21"/>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thin">
        <color indexed="64"/>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top style="medium">
        <color indexed="64"/>
      </top>
      <bottom/>
      <diagonal/>
    </border>
    <border>
      <left style="medium">
        <color indexed="64"/>
      </left>
      <right/>
      <top style="thin">
        <color indexed="64"/>
      </top>
      <bottom style="thin">
        <color indexed="64"/>
      </bottom>
      <diagonal/>
    </border>
  </borders>
  <cellStyleXfs count="45">
    <xf numFmtId="0" fontId="0" fillId="0" borderId="0"/>
    <xf numFmtId="0" fontId="14" fillId="2" borderId="0" applyNumberFormat="0" applyBorder="0" applyAlignment="0" applyProtection="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5" borderId="0" applyNumberFormat="0" applyBorder="0" applyAlignment="0" applyProtection="0"/>
    <xf numFmtId="0" fontId="14" fillId="8" borderId="0" applyNumberFormat="0" applyBorder="0" applyAlignment="0" applyProtection="0"/>
    <xf numFmtId="0" fontId="14" fillId="11" borderId="0" applyNumberFormat="0" applyBorder="0" applyAlignment="0" applyProtection="0"/>
    <xf numFmtId="0" fontId="15" fillId="12" borderId="0" applyNumberFormat="0" applyBorder="0" applyAlignment="0" applyProtection="0"/>
    <xf numFmtId="0" fontId="15" fillId="9" borderId="0" applyNumberFormat="0" applyBorder="0" applyAlignment="0" applyProtection="0"/>
    <xf numFmtId="0" fontId="15" fillId="10"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6" fillId="4" borderId="0" applyNumberFormat="0" applyBorder="0" applyAlignment="0" applyProtection="0"/>
    <xf numFmtId="0" fontId="17" fillId="16" borderId="1" applyNumberFormat="0" applyAlignment="0" applyProtection="0"/>
    <xf numFmtId="0" fontId="18" fillId="17" borderId="2" applyNumberFormat="0" applyAlignment="0" applyProtection="0"/>
    <xf numFmtId="0" fontId="19" fillId="0" borderId="3" applyNumberFormat="0" applyFill="0" applyAlignment="0" applyProtection="0"/>
    <xf numFmtId="0" fontId="20" fillId="0" borderId="0" applyNumberFormat="0" applyFill="0" applyBorder="0" applyAlignment="0" applyProtection="0"/>
    <xf numFmtId="0" fontId="15" fillId="18" borderId="0" applyNumberFormat="0" applyBorder="0" applyAlignment="0" applyProtection="0"/>
    <xf numFmtId="0" fontId="15" fillId="19" borderId="0" applyNumberFormat="0" applyBorder="0" applyAlignment="0" applyProtection="0"/>
    <xf numFmtId="0" fontId="15" fillId="20"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21" borderId="0" applyNumberFormat="0" applyBorder="0" applyAlignment="0" applyProtection="0"/>
    <xf numFmtId="0" fontId="21" fillId="7" borderId="1" applyNumberFormat="0" applyAlignment="0" applyProtection="0"/>
    <xf numFmtId="0" fontId="7" fillId="0" borderId="0" applyNumberFormat="0" applyFill="0" applyBorder="0" applyAlignment="0" applyProtection="0">
      <alignment vertical="top"/>
      <protection locked="0"/>
    </xf>
    <xf numFmtId="0" fontId="22" fillId="3" borderId="0" applyNumberFormat="0" applyBorder="0" applyAlignment="0" applyProtection="0"/>
    <xf numFmtId="0" fontId="23" fillId="22" borderId="0" applyNumberFormat="0" applyBorder="0" applyAlignment="0" applyProtection="0"/>
    <xf numFmtId="0" fontId="1" fillId="23" borderId="4" applyNumberFormat="0" applyFont="0" applyAlignment="0" applyProtection="0"/>
    <xf numFmtId="9" fontId="1" fillId="0" borderId="0" applyFont="0" applyFill="0" applyBorder="0" applyAlignment="0" applyProtection="0"/>
    <xf numFmtId="0" fontId="24" fillId="16" borderId="5" applyNumberFormat="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8" fillId="0" borderId="6" applyNumberFormat="0" applyFill="0" applyAlignment="0" applyProtection="0"/>
    <xf numFmtId="0" fontId="29" fillId="0" borderId="7" applyNumberFormat="0" applyFill="0" applyAlignment="0" applyProtection="0"/>
    <xf numFmtId="0" fontId="20" fillId="0" borderId="8" applyNumberFormat="0" applyFill="0" applyAlignment="0" applyProtection="0"/>
    <xf numFmtId="0" fontId="30" fillId="0" borderId="9" applyNumberFormat="0" applyFill="0" applyAlignment="0" applyProtection="0"/>
    <xf numFmtId="0" fontId="1" fillId="0" borderId="0"/>
  </cellStyleXfs>
  <cellXfs count="202">
    <xf numFmtId="0" fontId="0" fillId="0" borderId="0" xfId="0"/>
    <xf numFmtId="0" fontId="3" fillId="0" borderId="0" xfId="0" applyFont="1"/>
    <xf numFmtId="0" fontId="3" fillId="0" borderId="0" xfId="0" applyFont="1" applyBorder="1"/>
    <xf numFmtId="0" fontId="2" fillId="0" borderId="0" xfId="0" applyFont="1"/>
    <xf numFmtId="166" fontId="2" fillId="0" borderId="0" xfId="35" applyNumberFormat="1" applyFont="1"/>
    <xf numFmtId="0" fontId="0" fillId="0" borderId="0" xfId="0" applyAlignment="1">
      <alignment wrapText="1"/>
    </xf>
    <xf numFmtId="0" fontId="5" fillId="0" borderId="10" xfId="0" applyFont="1" applyFill="1" applyBorder="1" applyAlignment="1">
      <alignment horizontal="center"/>
    </xf>
    <xf numFmtId="165" fontId="0" fillId="0" borderId="0" xfId="0" applyNumberFormat="1" applyFill="1" applyBorder="1" applyAlignment="1"/>
    <xf numFmtId="165" fontId="0" fillId="0" borderId="11" xfId="0" applyNumberFormat="1" applyFill="1" applyBorder="1" applyAlignment="1"/>
    <xf numFmtId="0" fontId="0" fillId="0" borderId="12" xfId="0" applyFill="1" applyBorder="1" applyAlignment="1">
      <alignment horizontal="left"/>
    </xf>
    <xf numFmtId="0" fontId="0" fillId="0" borderId="13" xfId="0" applyFill="1" applyBorder="1" applyAlignment="1">
      <alignment horizontal="left"/>
    </xf>
    <xf numFmtId="0" fontId="4" fillId="0" borderId="0" xfId="0" applyFont="1" applyFill="1" applyBorder="1" applyAlignment="1">
      <alignment horizontal="center"/>
    </xf>
    <xf numFmtId="0" fontId="8" fillId="0" borderId="14" xfId="0" applyFont="1" applyFill="1" applyBorder="1" applyAlignment="1">
      <alignment horizontal="left"/>
    </xf>
    <xf numFmtId="0" fontId="9" fillId="24" borderId="15" xfId="0" applyFont="1" applyFill="1" applyBorder="1" applyAlignment="1"/>
    <xf numFmtId="0" fontId="9" fillId="24" borderId="15" xfId="0" applyFont="1" applyFill="1" applyBorder="1" applyAlignment="1">
      <alignment wrapText="1"/>
    </xf>
    <xf numFmtId="164" fontId="9" fillId="24" borderId="16" xfId="0" applyNumberFormat="1" applyFont="1" applyFill="1" applyBorder="1" applyAlignment="1">
      <alignment horizontal="center"/>
    </xf>
    <xf numFmtId="0" fontId="9" fillId="24" borderId="16" xfId="0" applyNumberFormat="1" applyFont="1" applyFill="1" applyBorder="1" applyAlignment="1">
      <alignment horizontal="center"/>
    </xf>
    <xf numFmtId="0" fontId="9" fillId="24" borderId="16" xfId="0" applyNumberFormat="1" applyFont="1" applyFill="1" applyBorder="1" applyAlignment="1">
      <alignment horizontal="center" wrapText="1"/>
    </xf>
    <xf numFmtId="166" fontId="9" fillId="24" borderId="16" xfId="35" applyNumberFormat="1" applyFont="1" applyFill="1" applyBorder="1" applyAlignment="1">
      <alignment horizontal="center" wrapText="1"/>
    </xf>
    <xf numFmtId="0" fontId="9" fillId="24" borderId="16" xfId="0" applyFont="1" applyFill="1" applyBorder="1" applyAlignment="1">
      <alignment horizontal="center" wrapText="1"/>
    </xf>
    <xf numFmtId="166" fontId="10" fillId="24" borderId="16" xfId="31" applyNumberFormat="1" applyFont="1" applyFill="1" applyBorder="1" applyAlignment="1" applyProtection="1">
      <alignment horizontal="center" wrapText="1"/>
    </xf>
    <xf numFmtId="166" fontId="10" fillId="24" borderId="16" xfId="35" applyNumberFormat="1" applyFont="1" applyFill="1" applyBorder="1" applyAlignment="1">
      <alignment horizontal="center" wrapText="1"/>
    </xf>
    <xf numFmtId="166" fontId="10" fillId="24" borderId="17" xfId="35" applyNumberFormat="1" applyFont="1" applyFill="1" applyBorder="1" applyAlignment="1">
      <alignment horizontal="center" wrapText="1"/>
    </xf>
    <xf numFmtId="0" fontId="10" fillId="24" borderId="15" xfId="0" applyFont="1" applyFill="1" applyBorder="1" applyAlignment="1">
      <alignment wrapText="1"/>
    </xf>
    <xf numFmtId="167" fontId="0" fillId="0" borderId="0" xfId="0" applyNumberFormat="1" applyFill="1" applyBorder="1" applyAlignment="1"/>
    <xf numFmtId="0" fontId="11" fillId="25" borderId="18" xfId="0" applyFont="1" applyFill="1" applyBorder="1" applyAlignment="1">
      <alignment horizontal="center"/>
    </xf>
    <xf numFmtId="0" fontId="11" fillId="25" borderId="19" xfId="0" applyFont="1" applyFill="1" applyBorder="1" applyAlignment="1">
      <alignment horizontal="center"/>
    </xf>
    <xf numFmtId="0" fontId="12" fillId="0" borderId="10" xfId="0" applyFont="1" applyFill="1" applyBorder="1" applyAlignment="1">
      <alignment horizontal="center"/>
    </xf>
    <xf numFmtId="0" fontId="13" fillId="0" borderId="13" xfId="0" applyFont="1" applyFill="1" applyBorder="1" applyAlignment="1">
      <alignment horizontal="left"/>
    </xf>
    <xf numFmtId="0" fontId="11" fillId="25" borderId="20" xfId="0" applyFont="1" applyFill="1" applyBorder="1" applyAlignment="1">
      <alignment horizontal="center" wrapText="1"/>
    </xf>
    <xf numFmtId="0" fontId="11" fillId="25" borderId="21" xfId="0" applyFont="1" applyFill="1" applyBorder="1" applyAlignment="1">
      <alignment horizontal="center" wrapText="1"/>
    </xf>
    <xf numFmtId="165" fontId="0" fillId="0" borderId="0" xfId="0" applyNumberFormat="1" applyFill="1" applyBorder="1" applyAlignment="1">
      <alignment horizontal="center"/>
    </xf>
    <xf numFmtId="165" fontId="0" fillId="0" borderId="11" xfId="0" applyNumberFormat="1" applyFill="1" applyBorder="1" applyAlignment="1">
      <alignment horizontal="center"/>
    </xf>
    <xf numFmtId="167" fontId="9" fillId="24" borderId="16" xfId="0" applyNumberFormat="1" applyFont="1" applyFill="1" applyBorder="1" applyAlignment="1">
      <alignment horizontal="center"/>
    </xf>
    <xf numFmtId="9" fontId="9" fillId="24" borderId="16" xfId="0" applyNumberFormat="1" applyFont="1" applyFill="1" applyBorder="1" applyAlignment="1">
      <alignment horizontal="center" wrapText="1"/>
    </xf>
    <xf numFmtId="9" fontId="0" fillId="0" borderId="0" xfId="0" applyNumberFormat="1"/>
    <xf numFmtId="167" fontId="0" fillId="0" borderId="0" xfId="0" applyNumberFormat="1" applyFill="1" applyBorder="1" applyAlignment="1">
      <alignment horizontal="center"/>
    </xf>
    <xf numFmtId="167" fontId="0" fillId="0" borderId="11" xfId="0" applyNumberFormat="1" applyFill="1" applyBorder="1" applyAlignment="1">
      <alignment horizontal="center"/>
    </xf>
    <xf numFmtId="0" fontId="33" fillId="0" borderId="0" xfId="0" applyFont="1" applyFill="1"/>
    <xf numFmtId="0" fontId="35" fillId="0" borderId="0" xfId="0" applyFont="1" applyFill="1"/>
    <xf numFmtId="0" fontId="36" fillId="0" borderId="0" xfId="0" applyFont="1" applyFill="1" applyAlignment="1"/>
    <xf numFmtId="0" fontId="35" fillId="0" borderId="0" xfId="0" applyFont="1"/>
    <xf numFmtId="0" fontId="37" fillId="0" borderId="0" xfId="0" applyFont="1" applyFill="1" applyBorder="1" applyAlignment="1">
      <alignment horizontal="center" vertical="center"/>
    </xf>
    <xf numFmtId="0" fontId="38" fillId="0" borderId="0" xfId="0" applyFont="1" applyFill="1" applyBorder="1" applyAlignment="1">
      <alignment vertical="center"/>
    </xf>
    <xf numFmtId="0" fontId="39" fillId="0" borderId="0" xfId="31" applyFont="1" applyAlignment="1" applyProtection="1">
      <alignment vertical="center"/>
    </xf>
    <xf numFmtId="0" fontId="40" fillId="0" borderId="0" xfId="0" applyFont="1"/>
    <xf numFmtId="0" fontId="44" fillId="0" borderId="0" xfId="0" applyFont="1"/>
    <xf numFmtId="0" fontId="45" fillId="0" borderId="28" xfId="0" applyFont="1" applyFill="1" applyBorder="1" applyAlignment="1">
      <alignment horizontal="center"/>
    </xf>
    <xf numFmtId="0" fontId="46" fillId="0" borderId="29" xfId="0" applyFont="1" applyFill="1" applyBorder="1" applyAlignment="1">
      <alignment horizontal="center"/>
    </xf>
    <xf numFmtId="0" fontId="43" fillId="0" borderId="0" xfId="0" applyFont="1" applyFill="1" applyBorder="1" applyAlignment="1">
      <alignment horizontal="center"/>
    </xf>
    <xf numFmtId="0" fontId="45" fillId="0" borderId="0" xfId="0" applyFont="1" applyFill="1" applyBorder="1" applyAlignment="1">
      <alignment horizontal="center"/>
    </xf>
    <xf numFmtId="165" fontId="44" fillId="0" borderId="0" xfId="0" applyNumberFormat="1" applyFont="1" applyFill="1" applyBorder="1" applyAlignment="1">
      <alignment horizontal="center"/>
    </xf>
    <xf numFmtId="0" fontId="48" fillId="0" borderId="33" xfId="0" applyFont="1" applyBorder="1"/>
    <xf numFmtId="0" fontId="48" fillId="0" borderId="29" xfId="0" applyFont="1" applyBorder="1"/>
    <xf numFmtId="0" fontId="48" fillId="0" borderId="30" xfId="0" applyFont="1" applyBorder="1" applyAlignment="1">
      <alignment horizontal="center"/>
    </xf>
    <xf numFmtId="0" fontId="43" fillId="0" borderId="0" xfId="0" applyFont="1" applyFill="1" applyBorder="1" applyAlignment="1">
      <alignment horizontal="center" vertical="center" wrapText="1"/>
    </xf>
    <xf numFmtId="0" fontId="45" fillId="0" borderId="32" xfId="0" applyFont="1" applyFill="1" applyBorder="1" applyAlignment="1">
      <alignment horizontal="center"/>
    </xf>
    <xf numFmtId="165" fontId="44" fillId="0" borderId="32" xfId="0" applyNumberFormat="1" applyFont="1" applyFill="1" applyBorder="1" applyAlignment="1">
      <alignment horizontal="center"/>
    </xf>
    <xf numFmtId="0" fontId="43" fillId="0" borderId="0" xfId="0" applyFont="1" applyFill="1" applyBorder="1" applyAlignment="1">
      <alignment horizontal="center" vertical="center"/>
    </xf>
    <xf numFmtId="0" fontId="49" fillId="26" borderId="32" xfId="0" applyFont="1" applyFill="1" applyBorder="1" applyAlignment="1">
      <alignment horizontal="center"/>
    </xf>
    <xf numFmtId="0" fontId="49" fillId="0" borderId="0" xfId="0" applyFont="1" applyFill="1" applyBorder="1" applyAlignment="1">
      <alignment horizontal="center"/>
    </xf>
    <xf numFmtId="164" fontId="49" fillId="0" borderId="0" xfId="0" applyNumberFormat="1" applyFont="1" applyFill="1" applyBorder="1" applyAlignment="1">
      <alignment horizontal="center"/>
    </xf>
    <xf numFmtId="0" fontId="35" fillId="0" borderId="0" xfId="0" applyFont="1" applyAlignment="1">
      <alignment wrapText="1"/>
    </xf>
    <xf numFmtId="0" fontId="49" fillId="26" borderId="0" xfId="0" applyFont="1" applyFill="1" applyBorder="1" applyAlignment="1">
      <alignment horizontal="center"/>
    </xf>
    <xf numFmtId="0" fontId="49" fillId="26" borderId="0" xfId="0" applyNumberFormat="1" applyFont="1" applyFill="1" applyBorder="1" applyAlignment="1">
      <alignment horizontal="center"/>
    </xf>
    <xf numFmtId="0" fontId="44" fillId="0" borderId="0" xfId="0" applyFont="1" applyAlignment="1">
      <alignment wrapText="1"/>
    </xf>
    <xf numFmtId="0" fontId="49" fillId="0" borderId="0" xfId="0" applyNumberFormat="1" applyFont="1" applyFill="1" applyBorder="1" applyAlignment="1">
      <alignment horizontal="center"/>
    </xf>
    <xf numFmtId="0" fontId="40" fillId="0" borderId="0" xfId="0" applyFont="1" applyFill="1"/>
    <xf numFmtId="0" fontId="50" fillId="0" borderId="0" xfId="0" applyFont="1" applyFill="1"/>
    <xf numFmtId="0" fontId="49" fillId="0" borderId="0" xfId="0" applyFont="1" applyFill="1" applyBorder="1" applyAlignment="1">
      <alignment horizontal="center" vertical="center" wrapText="1"/>
    </xf>
    <xf numFmtId="0" fontId="49" fillId="0" borderId="0" xfId="0" applyNumberFormat="1" applyFont="1" applyFill="1" applyBorder="1" applyAlignment="1">
      <alignment horizontal="center" vertical="center" wrapText="1"/>
    </xf>
    <xf numFmtId="0" fontId="44" fillId="0" borderId="0" xfId="0" applyFont="1" applyAlignment="1">
      <alignment horizontal="right"/>
    </xf>
    <xf numFmtId="0" fontId="55" fillId="0" borderId="29" xfId="0" applyFont="1" applyFill="1" applyBorder="1" applyAlignment="1">
      <alignment horizontal="center" vertical="center" wrapText="1"/>
    </xf>
    <xf numFmtId="10" fontId="55" fillId="0" borderId="29" xfId="35" applyNumberFormat="1" applyFont="1" applyFill="1" applyBorder="1" applyAlignment="1">
      <alignment horizontal="center" vertical="center" wrapText="1"/>
    </xf>
    <xf numFmtId="167" fontId="44" fillId="0" borderId="0" xfId="0" applyNumberFormat="1" applyFont="1" applyFill="1" applyBorder="1" applyAlignment="1"/>
    <xf numFmtId="0" fontId="56" fillId="0" borderId="0" xfId="0" applyFont="1"/>
    <xf numFmtId="0" fontId="57" fillId="0" borderId="0" xfId="0" applyFont="1"/>
    <xf numFmtId="9" fontId="57" fillId="0" borderId="0" xfId="35" applyNumberFormat="1" applyFont="1"/>
    <xf numFmtId="166" fontId="52" fillId="0" borderId="0" xfId="0" applyNumberFormat="1" applyFont="1"/>
    <xf numFmtId="0" fontId="59" fillId="0" borderId="0" xfId="0" applyFont="1" applyFill="1" applyBorder="1" applyAlignment="1">
      <alignment horizontal="center" vertical="center"/>
    </xf>
    <xf numFmtId="0" fontId="59" fillId="26" borderId="0" xfId="0" applyFont="1" applyFill="1" applyBorder="1" applyAlignment="1">
      <alignment horizontal="center" vertical="center"/>
    </xf>
    <xf numFmtId="0" fontId="43" fillId="26" borderId="0" xfId="0" applyFont="1" applyFill="1" applyBorder="1" applyAlignment="1">
      <alignment horizontal="center" vertical="center" wrapText="1"/>
    </xf>
    <xf numFmtId="168" fontId="35" fillId="0" borderId="0" xfId="0" applyNumberFormat="1" applyFont="1"/>
    <xf numFmtId="10" fontId="35" fillId="0" borderId="0" xfId="35" applyNumberFormat="1" applyFont="1"/>
    <xf numFmtId="0" fontId="49" fillId="26" borderId="32" xfId="0" applyNumberFormat="1" applyFont="1" applyFill="1" applyBorder="1" applyAlignment="1">
      <alignment horizontal="center"/>
    </xf>
    <xf numFmtId="0" fontId="49" fillId="0" borderId="39" xfId="0" applyFont="1" applyFill="1" applyBorder="1" applyAlignment="1">
      <alignment horizontal="center"/>
    </xf>
    <xf numFmtId="0" fontId="49" fillId="0" borderId="39" xfId="0" applyNumberFormat="1" applyFont="1" applyFill="1" applyBorder="1" applyAlignment="1">
      <alignment horizontal="center"/>
    </xf>
    <xf numFmtId="0" fontId="54" fillId="0" borderId="0" xfId="0" applyFont="1" applyBorder="1" applyAlignment="1">
      <alignment horizontal="center" vertical="center" wrapText="1"/>
    </xf>
    <xf numFmtId="0" fontId="53" fillId="27" borderId="0" xfId="0" applyFont="1" applyFill="1" applyBorder="1" applyAlignment="1">
      <alignment horizontal="center" vertical="center" wrapText="1"/>
    </xf>
    <xf numFmtId="0" fontId="53" fillId="27" borderId="31" xfId="0" applyFont="1" applyFill="1" applyBorder="1" applyAlignment="1">
      <alignment horizontal="center" vertical="center" wrapText="1"/>
    </xf>
    <xf numFmtId="0" fontId="42" fillId="0" borderId="31" xfId="0" applyFont="1" applyBorder="1" applyAlignment="1">
      <alignment horizontal="center"/>
    </xf>
    <xf numFmtId="0" fontId="42" fillId="0" borderId="0" xfId="0" applyFont="1" applyBorder="1" applyAlignment="1">
      <alignment horizontal="center"/>
    </xf>
    <xf numFmtId="0" fontId="33" fillId="0" borderId="0" xfId="0" applyFont="1"/>
    <xf numFmtId="0" fontId="62" fillId="0" borderId="0" xfId="0" applyFont="1"/>
    <xf numFmtId="10" fontId="62" fillId="0" borderId="0" xfId="35" applyNumberFormat="1" applyFont="1"/>
    <xf numFmtId="0" fontId="44" fillId="0" borderId="0" xfId="0" applyFont="1" applyFill="1"/>
    <xf numFmtId="0" fontId="63" fillId="26" borderId="11" xfId="0" applyFont="1" applyFill="1" applyBorder="1" applyAlignment="1">
      <alignment horizontal="center"/>
    </xf>
    <xf numFmtId="164" fontId="63" fillId="26" borderId="11" xfId="0" applyNumberFormat="1" applyFont="1" applyFill="1" applyBorder="1" applyAlignment="1">
      <alignment horizontal="center"/>
    </xf>
    <xf numFmtId="0" fontId="63" fillId="0" borderId="0" xfId="0" applyFont="1" applyFill="1" applyBorder="1" applyAlignment="1">
      <alignment horizontal="center"/>
    </xf>
    <xf numFmtId="164" fontId="63" fillId="0" borderId="0" xfId="0" applyNumberFormat="1" applyFont="1" applyFill="1" applyBorder="1" applyAlignment="1">
      <alignment horizontal="center"/>
    </xf>
    <xf numFmtId="0" fontId="63" fillId="26" borderId="11" xfId="0" applyFont="1" applyFill="1" applyBorder="1" applyAlignment="1">
      <alignment horizontal="center" vertical="center" wrapText="1"/>
    </xf>
    <xf numFmtId="10" fontId="63" fillId="26" borderId="11" xfId="35" applyNumberFormat="1" applyFont="1" applyFill="1" applyBorder="1" applyAlignment="1">
      <alignment horizontal="center" vertical="center" wrapText="1"/>
    </xf>
    <xf numFmtId="0" fontId="64" fillId="0" borderId="0" xfId="0" applyFont="1" applyBorder="1" applyAlignment="1">
      <alignment horizontal="center"/>
    </xf>
    <xf numFmtId="164" fontId="51" fillId="0" borderId="41" xfId="0" applyNumberFormat="1" applyFont="1" applyBorder="1" applyAlignment="1">
      <alignment horizontal="center"/>
    </xf>
    <xf numFmtId="0" fontId="45" fillId="0" borderId="40" xfId="0" applyFont="1" applyBorder="1" applyAlignment="1">
      <alignment horizontal="center" vertical="center" wrapText="1"/>
    </xf>
    <xf numFmtId="165" fontId="45" fillId="0" borderId="32" xfId="0" applyNumberFormat="1" applyFont="1" applyFill="1" applyBorder="1" applyAlignment="1">
      <alignment horizontal="center"/>
    </xf>
    <xf numFmtId="165" fontId="45" fillId="0" borderId="0" xfId="0" applyNumberFormat="1" applyFont="1" applyFill="1" applyBorder="1" applyAlignment="1">
      <alignment horizontal="center"/>
    </xf>
    <xf numFmtId="0" fontId="45" fillId="0" borderId="0" xfId="0" applyFont="1" applyBorder="1" applyAlignment="1">
      <alignment horizontal="center" vertical="center" wrapText="1"/>
    </xf>
    <xf numFmtId="0" fontId="65" fillId="0" borderId="0" xfId="0" quotePrefix="1" applyFont="1" applyBorder="1" applyAlignment="1">
      <alignment horizontal="center" vertical="center"/>
    </xf>
    <xf numFmtId="166" fontId="58" fillId="0" borderId="0" xfId="35" applyNumberFormat="1" applyFont="1" applyBorder="1" applyAlignment="1">
      <alignment horizontal="center" vertical="center"/>
    </xf>
    <xf numFmtId="165" fontId="52" fillId="0" borderId="0" xfId="0" applyNumberFormat="1" applyFont="1" applyBorder="1"/>
    <xf numFmtId="166" fontId="52" fillId="0" borderId="0" xfId="0" applyNumberFormat="1" applyFont="1" applyAlignment="1">
      <alignment vertical="center"/>
    </xf>
    <xf numFmtId="0" fontId="35" fillId="0" borderId="35" xfId="0" applyFont="1" applyBorder="1"/>
    <xf numFmtId="0" fontId="35" fillId="0" borderId="32" xfId="0" applyFont="1" applyBorder="1"/>
    <xf numFmtId="0" fontId="52" fillId="0" borderId="32" xfId="0" applyFont="1" applyBorder="1" applyAlignment="1">
      <alignment horizontal="center" vertical="center"/>
    </xf>
    <xf numFmtId="0" fontId="35" fillId="0" borderId="32" xfId="0" applyFont="1" applyBorder="1" applyAlignment="1">
      <alignment horizontal="center"/>
    </xf>
    <xf numFmtId="0" fontId="35" fillId="0" borderId="36" xfId="0" applyFont="1" applyBorder="1"/>
    <xf numFmtId="0" fontId="35" fillId="0" borderId="42" xfId="0" applyFont="1" applyBorder="1"/>
    <xf numFmtId="0" fontId="35" fillId="0" borderId="0" xfId="0" applyFont="1" applyBorder="1"/>
    <xf numFmtId="0" fontId="35" fillId="0" borderId="0" xfId="0" applyFont="1" applyBorder="1" applyAlignment="1">
      <alignment horizontal="center"/>
    </xf>
    <xf numFmtId="0" fontId="35" fillId="0" borderId="12" xfId="0" applyFont="1" applyBorder="1"/>
    <xf numFmtId="0" fontId="51" fillId="0" borderId="0" xfId="0" applyFont="1" applyBorder="1" applyAlignment="1">
      <alignment horizontal="left"/>
    </xf>
    <xf numFmtId="0" fontId="52" fillId="0" borderId="0" xfId="0" applyFont="1" applyBorder="1" applyAlignment="1">
      <alignment horizontal="right"/>
    </xf>
    <xf numFmtId="0" fontId="35" fillId="0" borderId="37" xfId="0" applyFont="1" applyBorder="1"/>
    <xf numFmtId="0" fontId="35" fillId="0" borderId="39" xfId="0" applyFont="1" applyBorder="1"/>
    <xf numFmtId="0" fontId="35" fillId="0" borderId="38" xfId="0" applyFont="1" applyBorder="1"/>
    <xf numFmtId="10" fontId="53" fillId="27" borderId="0" xfId="31" applyNumberFormat="1" applyFont="1" applyFill="1" applyBorder="1" applyAlignment="1" applyProtection="1">
      <alignment horizontal="center" vertical="center" wrapText="1"/>
    </xf>
    <xf numFmtId="10" fontId="53" fillId="27" borderId="31" xfId="35" applyNumberFormat="1" applyFont="1" applyFill="1" applyBorder="1" applyAlignment="1">
      <alignment horizontal="center" vertical="center" wrapText="1"/>
    </xf>
    <xf numFmtId="10" fontId="35" fillId="0" borderId="0" xfId="0" applyNumberFormat="1" applyFont="1"/>
    <xf numFmtId="0" fontId="67" fillId="0" borderId="0" xfId="0" applyFont="1"/>
    <xf numFmtId="0" fontId="34" fillId="0" borderId="0" xfId="0" applyFont="1" applyFill="1" applyAlignment="1">
      <alignment wrapText="1"/>
    </xf>
    <xf numFmtId="0" fontId="68" fillId="0" borderId="0" xfId="0" applyFont="1" applyFill="1" applyAlignment="1">
      <alignment wrapText="1"/>
    </xf>
    <xf numFmtId="0" fontId="65" fillId="0" borderId="0" xfId="0" applyFont="1"/>
    <xf numFmtId="0" fontId="65" fillId="0" borderId="0" xfId="0" applyFont="1" applyFill="1"/>
    <xf numFmtId="0" fontId="51" fillId="0" borderId="0" xfId="0" applyFont="1"/>
    <xf numFmtId="0" fontId="47" fillId="0" borderId="0" xfId="0" applyFont="1" applyFill="1" applyBorder="1" applyAlignment="1">
      <alignment horizontal="center"/>
    </xf>
    <xf numFmtId="0" fontId="46" fillId="0" borderId="34" xfId="0" applyFont="1" applyFill="1" applyBorder="1" applyAlignment="1">
      <alignment horizontal="center"/>
    </xf>
    <xf numFmtId="0" fontId="46" fillId="0" borderId="44" xfId="0" applyFont="1" applyFill="1" applyBorder="1" applyAlignment="1">
      <alignment horizontal="center"/>
    </xf>
    <xf numFmtId="10" fontId="63" fillId="26" borderId="11" xfId="0" applyNumberFormat="1" applyFont="1" applyFill="1" applyBorder="1" applyAlignment="1">
      <alignment horizontal="center"/>
    </xf>
    <xf numFmtId="0" fontId="41" fillId="0" borderId="0" xfId="0" applyFont="1" applyBorder="1" applyAlignment="1">
      <alignment horizontal="center" vertical="center"/>
    </xf>
    <xf numFmtId="164" fontId="51" fillId="0" borderId="0" xfId="0" applyNumberFormat="1" applyFont="1" applyBorder="1" applyAlignment="1">
      <alignment horizontal="center"/>
    </xf>
    <xf numFmtId="0" fontId="35" fillId="0" borderId="0" xfId="0" quotePrefix="1" applyFont="1"/>
    <xf numFmtId="165" fontId="35" fillId="0" borderId="0" xfId="0" applyNumberFormat="1" applyFont="1"/>
    <xf numFmtId="169" fontId="35" fillId="0" borderId="0" xfId="0" applyNumberFormat="1" applyFont="1" applyBorder="1"/>
    <xf numFmtId="170" fontId="44" fillId="0" borderId="0" xfId="0" applyNumberFormat="1" applyFont="1"/>
    <xf numFmtId="0" fontId="69" fillId="0" borderId="0" xfId="31" applyFont="1" applyAlignment="1" applyProtection="1"/>
    <xf numFmtId="0" fontId="71" fillId="0" borderId="0" xfId="31" applyFont="1" applyAlignment="1" applyProtection="1">
      <alignment horizontal="justify"/>
    </xf>
    <xf numFmtId="0" fontId="72" fillId="0" borderId="0" xfId="31" applyFont="1" applyAlignment="1" applyProtection="1">
      <alignment horizontal="left"/>
    </xf>
    <xf numFmtId="0" fontId="37" fillId="0" borderId="0" xfId="0" applyFont="1" applyFill="1" applyBorder="1" applyAlignment="1">
      <alignment vertical="center"/>
    </xf>
    <xf numFmtId="0" fontId="70" fillId="0" borderId="0" xfId="31" applyFont="1" applyAlignment="1" applyProtection="1">
      <alignment horizontal="center" vertical="center" wrapText="1"/>
    </xf>
    <xf numFmtId="0" fontId="51" fillId="0" borderId="0" xfId="0" applyFont="1" applyAlignment="1">
      <alignment horizontal="center"/>
    </xf>
    <xf numFmtId="0" fontId="58" fillId="0" borderId="32" xfId="0" applyFont="1" applyBorder="1" applyAlignment="1">
      <alignment horizontal="center" vertical="center"/>
    </xf>
    <xf numFmtId="0" fontId="58" fillId="0" borderId="39" xfId="0" applyFont="1" applyBorder="1" applyAlignment="1">
      <alignment horizontal="center" vertical="center"/>
    </xf>
    <xf numFmtId="10" fontId="66" fillId="0" borderId="43" xfId="35" applyNumberFormat="1" applyFont="1" applyBorder="1" applyAlignment="1">
      <alignment horizontal="center" vertical="center"/>
    </xf>
    <xf numFmtId="10" fontId="66" fillId="0" borderId="23" xfId="35" applyNumberFormat="1" applyFont="1" applyBorder="1" applyAlignment="1">
      <alignment horizontal="center" vertical="center"/>
    </xf>
    <xf numFmtId="10" fontId="66" fillId="0" borderId="31" xfId="35" applyNumberFormat="1" applyFont="1" applyBorder="1" applyAlignment="1">
      <alignment horizontal="center" vertical="center"/>
    </xf>
    <xf numFmtId="10" fontId="66" fillId="0" borderId="27" xfId="35" applyNumberFormat="1" applyFont="1" applyBorder="1" applyAlignment="1">
      <alignment horizontal="center" vertical="center"/>
    </xf>
    <xf numFmtId="0" fontId="34" fillId="0" borderId="0" xfId="0" applyFont="1" applyFill="1" applyAlignment="1">
      <alignment horizontal="center" wrapText="1"/>
    </xf>
    <xf numFmtId="0" fontId="41" fillId="0" borderId="33" xfId="0" applyFont="1" applyBorder="1" applyAlignment="1">
      <alignment horizontal="center" vertical="center"/>
    </xf>
    <xf numFmtId="0" fontId="41" fillId="0" borderId="29" xfId="0" applyFont="1" applyBorder="1" applyAlignment="1">
      <alignment horizontal="center" vertical="center"/>
    </xf>
    <xf numFmtId="0" fontId="41" fillId="0" borderId="30" xfId="0" applyFont="1" applyBorder="1" applyAlignment="1">
      <alignment horizontal="center" vertical="center"/>
    </xf>
    <xf numFmtId="0" fontId="37" fillId="0" borderId="0" xfId="0" applyFont="1" applyFill="1" applyBorder="1" applyAlignment="1">
      <alignment horizontal="center" vertical="center"/>
    </xf>
    <xf numFmtId="0" fontId="38" fillId="0" borderId="0" xfId="0" applyFont="1" applyFill="1" applyBorder="1" applyAlignment="1">
      <alignment horizontal="center" vertical="center"/>
    </xf>
    <xf numFmtId="0" fontId="45" fillId="0" borderId="0" xfId="0" applyFont="1" applyAlignment="1">
      <alignment horizontal="center" vertical="center"/>
    </xf>
    <xf numFmtId="0" fontId="51" fillId="0" borderId="0" xfId="0" applyFont="1" applyAlignment="1">
      <alignment horizontal="center" vertical="center"/>
    </xf>
    <xf numFmtId="0" fontId="58" fillId="0" borderId="0" xfId="0" applyFont="1" applyAlignment="1">
      <alignment horizontal="center" vertical="center"/>
    </xf>
    <xf numFmtId="0" fontId="65" fillId="0" borderId="42" xfId="0" quotePrefix="1" applyFont="1" applyBorder="1" applyAlignment="1">
      <alignment horizontal="center" vertical="center"/>
    </xf>
    <xf numFmtId="0" fontId="65" fillId="0" borderId="12" xfId="0" quotePrefix="1" applyFont="1" applyBorder="1" applyAlignment="1">
      <alignment horizontal="center" vertical="center"/>
    </xf>
    <xf numFmtId="0" fontId="65" fillId="0" borderId="37" xfId="0" quotePrefix="1" applyFont="1" applyBorder="1" applyAlignment="1">
      <alignment horizontal="center" vertical="center"/>
    </xf>
    <xf numFmtId="0" fontId="65" fillId="0" borderId="38" xfId="0" quotePrefix="1" applyFont="1" applyBorder="1" applyAlignment="1">
      <alignment horizontal="center" vertical="center"/>
    </xf>
    <xf numFmtId="0" fontId="60" fillId="28" borderId="35" xfId="0" applyFont="1" applyFill="1" applyBorder="1" applyAlignment="1">
      <alignment horizontal="center" vertical="center" wrapText="1"/>
    </xf>
    <xf numFmtId="0" fontId="60" fillId="28" borderId="36" xfId="0" applyFont="1" applyFill="1" applyBorder="1" applyAlignment="1">
      <alignment horizontal="center" vertical="center" wrapText="1"/>
    </xf>
    <xf numFmtId="0" fontId="60" fillId="28" borderId="37" xfId="0" applyFont="1" applyFill="1" applyBorder="1" applyAlignment="1">
      <alignment horizontal="center" vertical="center" wrapText="1"/>
    </xf>
    <xf numFmtId="0" fontId="60" fillId="28" borderId="38" xfId="0" applyFont="1" applyFill="1" applyBorder="1" applyAlignment="1">
      <alignment horizontal="center" vertical="center" wrapText="1"/>
    </xf>
    <xf numFmtId="0" fontId="54" fillId="0" borderId="35" xfId="0" applyFont="1" applyBorder="1" applyAlignment="1">
      <alignment horizontal="center" vertical="center" wrapText="1"/>
    </xf>
    <xf numFmtId="0" fontId="54" fillId="0" borderId="36" xfId="0" applyFont="1" applyBorder="1" applyAlignment="1">
      <alignment horizontal="center" vertical="center" wrapText="1"/>
    </xf>
    <xf numFmtId="0" fontId="54" fillId="0" borderId="37" xfId="0" applyFont="1" applyBorder="1" applyAlignment="1">
      <alignment horizontal="center" vertical="center" wrapText="1"/>
    </xf>
    <xf numFmtId="0" fontId="54" fillId="0" borderId="38" xfId="0" applyFont="1" applyBorder="1" applyAlignment="1">
      <alignment horizontal="center" vertical="center" wrapText="1"/>
    </xf>
    <xf numFmtId="0" fontId="64" fillId="0" borderId="39" xfId="0" applyFont="1" applyBorder="1" applyAlignment="1">
      <alignment horizontal="center"/>
    </xf>
    <xf numFmtId="0" fontId="45" fillId="0" borderId="22" xfId="0" applyFont="1" applyBorder="1" applyAlignment="1">
      <alignment horizontal="center" vertical="center" wrapText="1"/>
    </xf>
    <xf numFmtId="0" fontId="45" fillId="0" borderId="24" xfId="0" applyFont="1" applyBorder="1" applyAlignment="1">
      <alignment horizontal="center" vertical="center" wrapText="1"/>
    </xf>
    <xf numFmtId="0" fontId="45" fillId="0" borderId="26" xfId="0" applyFont="1" applyBorder="1" applyAlignment="1">
      <alignment horizontal="center" vertical="center" wrapText="1"/>
    </xf>
    <xf numFmtId="10" fontId="58" fillId="0" borderId="23" xfId="35" applyNumberFormat="1" applyFont="1" applyBorder="1" applyAlignment="1">
      <alignment horizontal="center" vertical="center"/>
    </xf>
    <xf numFmtId="10" fontId="58" fillId="0" borderId="25" xfId="35" applyNumberFormat="1" applyFont="1" applyBorder="1" applyAlignment="1">
      <alignment horizontal="center" vertical="center"/>
    </xf>
    <xf numFmtId="10" fontId="58" fillId="0" borderId="27" xfId="35" applyNumberFormat="1" applyFont="1" applyBorder="1" applyAlignment="1">
      <alignment horizontal="center" vertical="center"/>
    </xf>
    <xf numFmtId="166" fontId="52" fillId="0" borderId="0" xfId="0" applyNumberFormat="1" applyFont="1" applyAlignment="1">
      <alignment horizontal="center"/>
    </xf>
    <xf numFmtId="0" fontId="66" fillId="0" borderId="22" xfId="0" applyFont="1" applyBorder="1" applyAlignment="1">
      <alignment horizontal="center" vertical="center"/>
    </xf>
    <xf numFmtId="0" fontId="66" fillId="0" borderId="26" xfId="0" applyFont="1" applyBorder="1" applyAlignment="1">
      <alignment horizontal="center" vertical="center"/>
    </xf>
    <xf numFmtId="0" fontId="46" fillId="0" borderId="35" xfId="0" applyFont="1" applyBorder="1" applyAlignment="1">
      <alignment horizontal="center"/>
    </xf>
    <xf numFmtId="0" fontId="46" fillId="0" borderId="36" xfId="0" applyFont="1" applyBorder="1" applyAlignment="1">
      <alignment horizontal="center"/>
    </xf>
    <xf numFmtId="0" fontId="52" fillId="0" borderId="0" xfId="0" applyFont="1" applyBorder="1" applyAlignment="1">
      <alignment horizontal="left" vertical="center"/>
    </xf>
    <xf numFmtId="166" fontId="52" fillId="0" borderId="0" xfId="0" applyNumberFormat="1" applyFont="1" applyBorder="1" applyAlignment="1">
      <alignment horizontal="center" vertical="center"/>
    </xf>
    <xf numFmtId="0" fontId="52" fillId="0" borderId="12" xfId="0" applyFont="1" applyBorder="1" applyAlignment="1">
      <alignment horizontal="center" vertical="center"/>
    </xf>
    <xf numFmtId="0" fontId="41" fillId="0" borderId="22" xfId="0" applyFont="1" applyBorder="1" applyAlignment="1">
      <alignment horizontal="center" vertical="center" wrapText="1"/>
    </xf>
    <xf numFmtId="0" fontId="41" fillId="0" borderId="43" xfId="0" applyFont="1" applyBorder="1" applyAlignment="1">
      <alignment horizontal="center" vertical="center" wrapText="1"/>
    </xf>
    <xf numFmtId="0" fontId="41" fillId="0" borderId="23" xfId="0" applyFont="1" applyBorder="1" applyAlignment="1">
      <alignment horizontal="center" vertical="center" wrapText="1"/>
    </xf>
    <xf numFmtId="0" fontId="41" fillId="0" borderId="26" xfId="0" applyFont="1" applyBorder="1" applyAlignment="1">
      <alignment horizontal="center" vertical="center" wrapText="1"/>
    </xf>
    <xf numFmtId="0" fontId="41" fillId="0" borderId="31" xfId="0" applyFont="1" applyBorder="1" applyAlignment="1">
      <alignment horizontal="center" vertical="center" wrapText="1"/>
    </xf>
    <xf numFmtId="0" fontId="41" fillId="0" borderId="27" xfId="0" applyFont="1" applyBorder="1" applyAlignment="1">
      <alignment horizontal="center" vertical="center" wrapText="1"/>
    </xf>
    <xf numFmtId="0" fontId="6" fillId="0" borderId="0" xfId="0" applyFont="1" applyAlignment="1">
      <alignment horizontal="center"/>
    </xf>
    <xf numFmtId="0" fontId="51" fillId="0" borderId="0" xfId="0" applyFont="1" applyFill="1" applyAlignment="1">
      <alignment horizontal="center"/>
    </xf>
    <xf numFmtId="0" fontId="13" fillId="0" borderId="0" xfId="0" applyFont="1"/>
  </cellXfs>
  <cellStyles count="45">
    <cellStyle name="20% - Énfasis1" xfId="1" builtinId="30" customBuiltin="1"/>
    <cellStyle name="20% - Énfasis2" xfId="2" builtinId="34" customBuiltin="1"/>
    <cellStyle name="20% - Énfasis3" xfId="3" builtinId="38" customBuiltin="1"/>
    <cellStyle name="20% - Énfasis4" xfId="4" builtinId="42" customBuiltin="1"/>
    <cellStyle name="20% - Énfasis5" xfId="5" builtinId="46" customBuiltin="1"/>
    <cellStyle name="20% - Énfasis6" xfId="6" builtinId="50" customBuiltin="1"/>
    <cellStyle name="40% - Énfasis1" xfId="7" builtinId="31" customBuiltin="1"/>
    <cellStyle name="40% - Énfasis2" xfId="8" builtinId="35" customBuiltin="1"/>
    <cellStyle name="40% - Énfasis3" xfId="9" builtinId="39" customBuiltin="1"/>
    <cellStyle name="40% - Énfasis4" xfId="10" builtinId="43" customBuiltin="1"/>
    <cellStyle name="40% - Énfasis5" xfId="11" builtinId="47" customBuiltin="1"/>
    <cellStyle name="40% - Énfasis6" xfId="12" builtinId="51" customBuiltin="1"/>
    <cellStyle name="60% - Énfasis1" xfId="13" builtinId="32" customBuiltin="1"/>
    <cellStyle name="60% - Énfasis2" xfId="14" builtinId="36" customBuiltin="1"/>
    <cellStyle name="60% - Énfasis3" xfId="15" builtinId="40" customBuiltin="1"/>
    <cellStyle name="60% - Énfasis4" xfId="16" builtinId="44" customBuiltin="1"/>
    <cellStyle name="60% - Énfasis5" xfId="17" builtinId="48" customBuiltin="1"/>
    <cellStyle name="60% - Énfasis6" xfId="18" builtinId="52" customBuiltin="1"/>
    <cellStyle name="Buena" xfId="19" builtinId="26" customBuiltin="1"/>
    <cellStyle name="Cálculo" xfId="20" builtinId="22" customBuiltin="1"/>
    <cellStyle name="Celda de comprobación" xfId="21" builtinId="23" customBuiltin="1"/>
    <cellStyle name="Celda vinculada" xfId="22" builtinId="24" customBuiltin="1"/>
    <cellStyle name="Encabezado 1" xfId="40" builtinId="16" customBuiltin="1"/>
    <cellStyle name="Encabezado 4" xfId="23" builtinId="19" customBuiltin="1"/>
    <cellStyle name="Énfasis1" xfId="24" builtinId="29" customBuiltin="1"/>
    <cellStyle name="Énfasis2" xfId="25" builtinId="33" customBuiltin="1"/>
    <cellStyle name="Énfasis3" xfId="26" builtinId="37" customBuiltin="1"/>
    <cellStyle name="Énfasis4" xfId="27" builtinId="41" customBuiltin="1"/>
    <cellStyle name="Énfasis5" xfId="28" builtinId="45" customBuiltin="1"/>
    <cellStyle name="Énfasis6" xfId="29" builtinId="49" customBuiltin="1"/>
    <cellStyle name="Entrada" xfId="30" builtinId="20" customBuiltin="1"/>
    <cellStyle name="Hipervínculo" xfId="31" builtinId="8"/>
    <cellStyle name="Incorrecto" xfId="32" builtinId="27" customBuiltin="1"/>
    <cellStyle name="Neutral" xfId="33" builtinId="28" customBuiltin="1"/>
    <cellStyle name="Normal" xfId="0" builtinId="0"/>
    <cellStyle name="Normal 2" xfId="44"/>
    <cellStyle name="Notas" xfId="34" builtinId="10" customBuiltin="1"/>
    <cellStyle name="Porcentaje" xfId="35" builtinId="5"/>
    <cellStyle name="Salida" xfId="36" builtinId="21" customBuiltin="1"/>
    <cellStyle name="Texto de advertencia" xfId="37" builtinId="11" customBuiltin="1"/>
    <cellStyle name="Texto explicativo" xfId="38" builtinId="53" customBuiltin="1"/>
    <cellStyle name="Título" xfId="39" builtinId="15" customBuiltin="1"/>
    <cellStyle name="Título 2" xfId="41" builtinId="17" customBuiltin="1"/>
    <cellStyle name="Título 3" xfId="42" builtinId="18" customBuiltin="1"/>
    <cellStyle name="Total" xfId="43" builtinId="25"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5.png"/><Relationship Id="rId7" Type="http://schemas.openxmlformats.org/officeDocument/2006/relationships/image" Target="../media/image9.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 Id="rId9"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5.png"/><Relationship Id="rId7" Type="http://schemas.openxmlformats.org/officeDocument/2006/relationships/image" Target="../media/image9.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 Id="rId9"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5.png"/><Relationship Id="rId7" Type="http://schemas.openxmlformats.org/officeDocument/2006/relationships/image" Target="../media/image9.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 Id="rId9" Type="http://schemas.openxmlformats.org/officeDocument/2006/relationships/image" Target="../media/image1.png"/></Relationships>
</file>

<file path=xl/drawings/_rels/drawing5.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5.png"/><Relationship Id="rId7" Type="http://schemas.openxmlformats.org/officeDocument/2006/relationships/image" Target="../media/image9.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 Id="rId9" Type="http://schemas.openxmlformats.org/officeDocument/2006/relationships/image" Target="../media/image1.png"/></Relationships>
</file>

<file path=xl/drawings/_rels/drawing6.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5.png"/><Relationship Id="rId7" Type="http://schemas.openxmlformats.org/officeDocument/2006/relationships/image" Target="../media/image9.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 Id="rId9"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3</xdr:col>
      <xdr:colOff>571500</xdr:colOff>
      <xdr:row>1</xdr:row>
      <xdr:rowOff>34925</xdr:rowOff>
    </xdr:to>
    <xdr:pic>
      <xdr:nvPicPr>
        <xdr:cNvPr id="3" name="2 Imagen" descr="LOGOEXCEL.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800225" cy="768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19</xdr:col>
      <xdr:colOff>412750</xdr:colOff>
      <xdr:row>59</xdr:row>
      <xdr:rowOff>114299</xdr:rowOff>
    </xdr:from>
    <xdr:to>
      <xdr:col>20</xdr:col>
      <xdr:colOff>330200</xdr:colOff>
      <xdr:row>61</xdr:row>
      <xdr:rowOff>79374</xdr:rowOff>
    </xdr:to>
    <xdr:sp macro="" textlink="">
      <xdr:nvSpPr>
        <xdr:cNvPr id="2373" name="AutoShape 25"/>
        <xdr:cNvSpPr>
          <a:spLocks noChangeArrowheads="1"/>
        </xdr:cNvSpPr>
      </xdr:nvSpPr>
      <xdr:spPr bwMode="auto">
        <a:xfrm>
          <a:off x="18167350" y="14731999"/>
          <a:ext cx="425450" cy="523875"/>
        </a:xfrm>
        <a:prstGeom prst="downArrow">
          <a:avLst>
            <a:gd name="adj1" fmla="val 50000"/>
            <a:gd name="adj2" fmla="val 35416"/>
          </a:avLst>
        </a:prstGeom>
        <a:solidFill>
          <a:srgbClr val="0000FF"/>
        </a:solidFill>
        <a:ln w="9525">
          <a:solidFill>
            <a:srgbClr val="0000FF"/>
          </a:solidFill>
          <a:miter lim="800000"/>
          <a:headEnd/>
          <a:tailEnd/>
        </a:ln>
      </xdr:spPr>
    </xdr:sp>
    <xdr:clientData/>
  </xdr:twoCellAnchor>
  <xdr:twoCellAnchor>
    <xdr:from>
      <xdr:col>4</xdr:col>
      <xdr:colOff>676275</xdr:colOff>
      <xdr:row>29</xdr:row>
      <xdr:rowOff>127000</xdr:rowOff>
    </xdr:from>
    <xdr:to>
      <xdr:col>7</xdr:col>
      <xdr:colOff>390525</xdr:colOff>
      <xdr:row>33</xdr:row>
      <xdr:rowOff>238125</xdr:rowOff>
    </xdr:to>
    <xdr:sp macro="" textlink="">
      <xdr:nvSpPr>
        <xdr:cNvPr id="2375" name="AutoShape 27"/>
        <xdr:cNvSpPr>
          <a:spLocks noChangeArrowheads="1"/>
        </xdr:cNvSpPr>
      </xdr:nvSpPr>
      <xdr:spPr bwMode="auto">
        <a:xfrm>
          <a:off x="4918075" y="7366000"/>
          <a:ext cx="2838450" cy="1063625"/>
        </a:xfrm>
        <a:custGeom>
          <a:avLst/>
          <a:gdLst>
            <a:gd name="T0" fmla="*/ 2147483647 w 21600"/>
            <a:gd name="T1" fmla="*/ 0 h 21600"/>
            <a:gd name="T2" fmla="*/ 0 w 21600"/>
            <a:gd name="T3" fmla="*/ 2147483647 h 21600"/>
            <a:gd name="T4" fmla="*/ 2147483647 w 21600"/>
            <a:gd name="T5" fmla="*/ 2147483647 h 21600"/>
            <a:gd name="T6" fmla="*/ 2147483647 w 21600"/>
            <a:gd name="T7" fmla="*/ 2147483647 h 21600"/>
            <a:gd name="T8" fmla="*/ 17694720 60000 65536"/>
            <a:gd name="T9" fmla="*/ 11796480 60000 65536"/>
            <a:gd name="T10" fmla="*/ 5898240 60000 65536"/>
            <a:gd name="T11" fmla="*/ 0 60000 65536"/>
            <a:gd name="T12" fmla="*/ 3375 w 21600"/>
            <a:gd name="T13" fmla="*/ 5400 h 21600"/>
            <a:gd name="T14" fmla="*/ 18900 w 21600"/>
            <a:gd name="T15" fmla="*/ 16200 h 21600"/>
          </a:gdLst>
          <a:ahLst/>
          <a:cxnLst>
            <a:cxn ang="T8">
              <a:pos x="T0" y="T1"/>
            </a:cxn>
            <a:cxn ang="T9">
              <a:pos x="T2" y="T3"/>
            </a:cxn>
            <a:cxn ang="T10">
              <a:pos x="T4" y="T5"/>
            </a:cxn>
            <a:cxn ang="T11">
              <a:pos x="T6" y="T7"/>
            </a:cxn>
          </a:cxnLst>
          <a:rect l="T12" t="T13" r="T14" b="T15"/>
          <a:pathLst>
            <a:path w="21600" h="21600">
              <a:moveTo>
                <a:pt x="16200" y="0"/>
              </a:moveTo>
              <a:lnTo>
                <a:pt x="16200" y="5400"/>
              </a:lnTo>
              <a:lnTo>
                <a:pt x="3375" y="5400"/>
              </a:lnTo>
              <a:lnTo>
                <a:pt x="3375" y="16200"/>
              </a:lnTo>
              <a:lnTo>
                <a:pt x="16200" y="16200"/>
              </a:lnTo>
              <a:lnTo>
                <a:pt x="16200" y="21600"/>
              </a:lnTo>
              <a:lnTo>
                <a:pt x="21600" y="10800"/>
              </a:lnTo>
              <a:close/>
            </a:path>
            <a:path w="21600" h="21600">
              <a:moveTo>
                <a:pt x="1350" y="5400"/>
              </a:moveTo>
              <a:lnTo>
                <a:pt x="1350" y="16200"/>
              </a:lnTo>
              <a:lnTo>
                <a:pt x="2700" y="16200"/>
              </a:lnTo>
              <a:lnTo>
                <a:pt x="2700" y="5400"/>
              </a:lnTo>
              <a:close/>
            </a:path>
            <a:path w="21600" h="21600">
              <a:moveTo>
                <a:pt x="0" y="5400"/>
              </a:moveTo>
              <a:lnTo>
                <a:pt x="0" y="16200"/>
              </a:lnTo>
              <a:lnTo>
                <a:pt x="675" y="16200"/>
              </a:lnTo>
              <a:lnTo>
                <a:pt x="675" y="5400"/>
              </a:lnTo>
              <a:close/>
            </a:path>
          </a:pathLst>
        </a:custGeom>
        <a:solidFill>
          <a:srgbClr val="0000FF"/>
        </a:solidFill>
        <a:ln w="9525">
          <a:solidFill>
            <a:srgbClr val="0000FF"/>
          </a:solidFill>
          <a:miter lim="800000"/>
          <a:headEnd/>
          <a:tailEnd/>
        </a:ln>
      </xdr:spPr>
    </xdr:sp>
    <xdr:clientData/>
  </xdr:twoCellAnchor>
  <xdr:twoCellAnchor>
    <xdr:from>
      <xdr:col>3</xdr:col>
      <xdr:colOff>1130299</xdr:colOff>
      <xdr:row>36</xdr:row>
      <xdr:rowOff>88900</xdr:rowOff>
    </xdr:from>
    <xdr:to>
      <xdr:col>3</xdr:col>
      <xdr:colOff>1381124</xdr:colOff>
      <xdr:row>37</xdr:row>
      <xdr:rowOff>352425</xdr:rowOff>
    </xdr:to>
    <xdr:sp macro="" textlink="">
      <xdr:nvSpPr>
        <xdr:cNvPr id="2381" name="49 Flecha curvada hacia arriba"/>
        <xdr:cNvSpPr>
          <a:spLocks noChangeArrowheads="1"/>
        </xdr:cNvSpPr>
      </xdr:nvSpPr>
      <xdr:spPr bwMode="auto">
        <a:xfrm rot="16200000" flipH="1">
          <a:off x="3625849" y="9328150"/>
          <a:ext cx="466725" cy="250825"/>
        </a:xfrm>
        <a:prstGeom prst="curvedUpArrow">
          <a:avLst>
            <a:gd name="adj1" fmla="val 25000"/>
            <a:gd name="adj2" fmla="val 50000"/>
            <a:gd name="adj3" fmla="val 25000"/>
          </a:avLst>
        </a:prstGeom>
        <a:solidFill>
          <a:srgbClr val="0000FF"/>
        </a:solidFill>
        <a:ln w="9525" algn="ctr">
          <a:solidFill>
            <a:srgbClr val="0000FF"/>
          </a:solidFill>
          <a:round/>
          <a:headEnd/>
          <a:tailEnd/>
        </a:ln>
      </xdr:spPr>
    </xdr:sp>
    <xdr:clientData/>
  </xdr:twoCellAnchor>
  <xdr:twoCellAnchor editAs="oneCell">
    <xdr:from>
      <xdr:col>19</xdr:col>
      <xdr:colOff>88900</xdr:colOff>
      <xdr:row>40</xdr:row>
      <xdr:rowOff>101600</xdr:rowOff>
    </xdr:from>
    <xdr:to>
      <xdr:col>24</xdr:col>
      <xdr:colOff>304800</xdr:colOff>
      <xdr:row>44</xdr:row>
      <xdr:rowOff>131399</xdr:rowOff>
    </xdr:to>
    <xdr:pic>
      <xdr:nvPicPr>
        <xdr:cNvPr id="2387" name="Picture 68"/>
        <xdr:cNvPicPr>
          <a:picLocks noChangeAspect="1" noChangeArrowheads="1"/>
        </xdr:cNvPicPr>
      </xdr:nvPicPr>
      <xdr:blipFill>
        <a:blip xmlns:r="http://schemas.openxmlformats.org/officeDocument/2006/relationships" r:embed="rId1" cstate="print"/>
        <a:srcRect/>
        <a:stretch>
          <a:fillRect/>
        </a:stretch>
      </xdr:blipFill>
      <xdr:spPr bwMode="auto">
        <a:xfrm>
          <a:off x="17843500" y="10045700"/>
          <a:ext cx="3517900" cy="994999"/>
        </a:xfrm>
        <a:prstGeom prst="rect">
          <a:avLst/>
        </a:prstGeom>
        <a:noFill/>
        <a:ln w="9525">
          <a:noFill/>
          <a:miter lim="800000"/>
          <a:headEnd/>
          <a:tailEnd/>
        </a:ln>
      </xdr:spPr>
    </xdr:pic>
    <xdr:clientData/>
  </xdr:twoCellAnchor>
  <xdr:twoCellAnchor editAs="oneCell">
    <xdr:from>
      <xdr:col>17</xdr:col>
      <xdr:colOff>444500</xdr:colOff>
      <xdr:row>54</xdr:row>
      <xdr:rowOff>12700</xdr:rowOff>
    </xdr:from>
    <xdr:to>
      <xdr:col>18</xdr:col>
      <xdr:colOff>688975</xdr:colOff>
      <xdr:row>55</xdr:row>
      <xdr:rowOff>250825</xdr:rowOff>
    </xdr:to>
    <xdr:pic>
      <xdr:nvPicPr>
        <xdr:cNvPr id="2388" name="Picture 70"/>
        <xdr:cNvPicPr>
          <a:picLocks noChangeAspect="1" noChangeArrowheads="1"/>
        </xdr:cNvPicPr>
      </xdr:nvPicPr>
      <xdr:blipFill>
        <a:blip xmlns:r="http://schemas.openxmlformats.org/officeDocument/2006/relationships" r:embed="rId2" cstate="print"/>
        <a:srcRect/>
        <a:stretch>
          <a:fillRect/>
        </a:stretch>
      </xdr:blipFill>
      <xdr:spPr bwMode="auto">
        <a:xfrm>
          <a:off x="16573500" y="13322300"/>
          <a:ext cx="1057275" cy="606425"/>
        </a:xfrm>
        <a:prstGeom prst="rect">
          <a:avLst/>
        </a:prstGeom>
        <a:noFill/>
        <a:ln w="9525">
          <a:noFill/>
          <a:miter lim="800000"/>
          <a:headEnd/>
          <a:tailEnd/>
        </a:ln>
      </xdr:spPr>
    </xdr:pic>
    <xdr:clientData/>
  </xdr:twoCellAnchor>
  <xdr:twoCellAnchor>
    <xdr:from>
      <xdr:col>21</xdr:col>
      <xdr:colOff>333375</xdr:colOff>
      <xdr:row>55</xdr:row>
      <xdr:rowOff>25400</xdr:rowOff>
    </xdr:from>
    <xdr:to>
      <xdr:col>22</xdr:col>
      <xdr:colOff>165100</xdr:colOff>
      <xdr:row>55</xdr:row>
      <xdr:rowOff>25400</xdr:rowOff>
    </xdr:to>
    <xdr:cxnSp macro="">
      <xdr:nvCxnSpPr>
        <xdr:cNvPr id="2389" name="60 Conector recto"/>
        <xdr:cNvCxnSpPr>
          <a:cxnSpLocks noChangeShapeType="1"/>
        </xdr:cNvCxnSpPr>
      </xdr:nvCxnSpPr>
      <xdr:spPr bwMode="auto">
        <a:xfrm>
          <a:off x="19383375" y="13703300"/>
          <a:ext cx="644525" cy="0"/>
        </a:xfrm>
        <a:prstGeom prst="line">
          <a:avLst/>
        </a:prstGeom>
        <a:noFill/>
        <a:ln w="9525" algn="ctr">
          <a:solidFill>
            <a:srgbClr val="000000"/>
          </a:solidFill>
          <a:round/>
          <a:headEnd/>
          <a:tailEnd/>
        </a:ln>
      </xdr:spPr>
    </xdr:cxnSp>
    <xdr:clientData/>
  </xdr:twoCellAnchor>
  <xdr:twoCellAnchor>
    <xdr:from>
      <xdr:col>21</xdr:col>
      <xdr:colOff>777875</xdr:colOff>
      <xdr:row>52</xdr:row>
      <xdr:rowOff>9525</xdr:rowOff>
    </xdr:from>
    <xdr:to>
      <xdr:col>23</xdr:col>
      <xdr:colOff>123825</xdr:colOff>
      <xdr:row>52</xdr:row>
      <xdr:rowOff>9525</xdr:rowOff>
    </xdr:to>
    <xdr:cxnSp macro="">
      <xdr:nvCxnSpPr>
        <xdr:cNvPr id="2390" name="61 Conector recto"/>
        <xdr:cNvCxnSpPr>
          <a:cxnSpLocks noChangeShapeType="1"/>
        </xdr:cNvCxnSpPr>
      </xdr:nvCxnSpPr>
      <xdr:spPr bwMode="auto">
        <a:xfrm flipV="1">
          <a:off x="19827875" y="12925425"/>
          <a:ext cx="590550" cy="0"/>
        </a:xfrm>
        <a:prstGeom prst="line">
          <a:avLst/>
        </a:prstGeom>
        <a:noFill/>
        <a:ln w="9525" algn="ctr">
          <a:solidFill>
            <a:srgbClr val="000000"/>
          </a:solidFill>
          <a:round/>
          <a:headEnd/>
          <a:tailEnd/>
        </a:ln>
      </xdr:spPr>
    </xdr:cxnSp>
    <xdr:clientData/>
  </xdr:twoCellAnchor>
  <xdr:twoCellAnchor>
    <xdr:from>
      <xdr:col>18</xdr:col>
      <xdr:colOff>695324</xdr:colOff>
      <xdr:row>52</xdr:row>
      <xdr:rowOff>127000</xdr:rowOff>
    </xdr:from>
    <xdr:to>
      <xdr:col>22</xdr:col>
      <xdr:colOff>215900</xdr:colOff>
      <xdr:row>58</xdr:row>
      <xdr:rowOff>0</xdr:rowOff>
    </xdr:to>
    <xdr:sp macro="" textlink="">
      <xdr:nvSpPr>
        <xdr:cNvPr id="2391" name="64 Corchetes"/>
        <xdr:cNvSpPr>
          <a:spLocks noChangeArrowheads="1"/>
        </xdr:cNvSpPr>
      </xdr:nvSpPr>
      <xdr:spPr bwMode="auto">
        <a:xfrm>
          <a:off x="17637124" y="13042900"/>
          <a:ext cx="2441576" cy="1384300"/>
        </a:xfrm>
        <a:prstGeom prst="bracketPair">
          <a:avLst>
            <a:gd name="adj" fmla="val 16667"/>
          </a:avLst>
        </a:prstGeom>
        <a:noFill/>
        <a:ln w="9525" algn="ctr">
          <a:solidFill>
            <a:srgbClr val="000000"/>
          </a:solidFill>
          <a:round/>
          <a:headEnd/>
          <a:tailEnd/>
        </a:ln>
      </xdr:spPr>
    </xdr:sp>
    <xdr:clientData/>
  </xdr:twoCellAnchor>
  <xdr:twoCellAnchor editAs="oneCell">
    <xdr:from>
      <xdr:col>19</xdr:col>
      <xdr:colOff>288925</xdr:colOff>
      <xdr:row>54</xdr:row>
      <xdr:rowOff>266700</xdr:rowOff>
    </xdr:from>
    <xdr:to>
      <xdr:col>19</xdr:col>
      <xdr:colOff>450850</xdr:colOff>
      <xdr:row>55</xdr:row>
      <xdr:rowOff>104775</xdr:rowOff>
    </xdr:to>
    <xdr:pic>
      <xdr:nvPicPr>
        <xdr:cNvPr id="2392" name="Picture 95"/>
        <xdr:cNvPicPr>
          <a:picLocks noChangeAspect="1" noChangeArrowheads="1"/>
        </xdr:cNvPicPr>
      </xdr:nvPicPr>
      <xdr:blipFill>
        <a:blip xmlns:r="http://schemas.openxmlformats.org/officeDocument/2006/relationships" r:embed="rId3" cstate="print"/>
        <a:srcRect/>
        <a:stretch>
          <a:fillRect/>
        </a:stretch>
      </xdr:blipFill>
      <xdr:spPr bwMode="auto">
        <a:xfrm>
          <a:off x="18043525" y="13576300"/>
          <a:ext cx="161925" cy="206375"/>
        </a:xfrm>
        <a:prstGeom prst="rect">
          <a:avLst/>
        </a:prstGeom>
        <a:noFill/>
        <a:ln w="9525">
          <a:noFill/>
          <a:miter lim="800000"/>
          <a:headEnd/>
          <a:tailEnd/>
        </a:ln>
      </xdr:spPr>
    </xdr:pic>
    <xdr:clientData/>
  </xdr:twoCellAnchor>
  <xdr:twoCellAnchor editAs="oneCell">
    <xdr:from>
      <xdr:col>21</xdr:col>
      <xdr:colOff>53975</xdr:colOff>
      <xdr:row>54</xdr:row>
      <xdr:rowOff>295275</xdr:rowOff>
    </xdr:from>
    <xdr:to>
      <xdr:col>21</xdr:col>
      <xdr:colOff>247650</xdr:colOff>
      <xdr:row>55</xdr:row>
      <xdr:rowOff>161925</xdr:rowOff>
    </xdr:to>
    <xdr:pic>
      <xdr:nvPicPr>
        <xdr:cNvPr id="2393" name="Picture 66"/>
        <xdr:cNvPicPr>
          <a:picLocks noChangeAspect="1" noChangeArrowheads="1"/>
        </xdr:cNvPicPr>
      </xdr:nvPicPr>
      <xdr:blipFill>
        <a:blip xmlns:r="http://schemas.openxmlformats.org/officeDocument/2006/relationships" r:embed="rId4" cstate="print"/>
        <a:srcRect/>
        <a:stretch>
          <a:fillRect/>
        </a:stretch>
      </xdr:blipFill>
      <xdr:spPr bwMode="auto">
        <a:xfrm>
          <a:off x="19103975" y="13604875"/>
          <a:ext cx="193675" cy="234950"/>
        </a:xfrm>
        <a:prstGeom prst="rect">
          <a:avLst/>
        </a:prstGeom>
        <a:noFill/>
        <a:ln w="9525">
          <a:noFill/>
          <a:miter lim="800000"/>
          <a:headEnd/>
          <a:tailEnd/>
        </a:ln>
      </xdr:spPr>
    </xdr:pic>
    <xdr:clientData/>
  </xdr:twoCellAnchor>
  <xdr:twoCellAnchor editAs="oneCell">
    <xdr:from>
      <xdr:col>22</xdr:col>
      <xdr:colOff>365125</xdr:colOff>
      <xdr:row>54</xdr:row>
      <xdr:rowOff>292100</xdr:rowOff>
    </xdr:from>
    <xdr:to>
      <xdr:col>23</xdr:col>
      <xdr:colOff>247650</xdr:colOff>
      <xdr:row>55</xdr:row>
      <xdr:rowOff>120650</xdr:rowOff>
    </xdr:to>
    <xdr:pic>
      <xdr:nvPicPr>
        <xdr:cNvPr id="2394" name="Picture 97"/>
        <xdr:cNvPicPr>
          <a:picLocks noChangeAspect="1" noChangeArrowheads="1"/>
        </xdr:cNvPicPr>
      </xdr:nvPicPr>
      <xdr:blipFill>
        <a:blip xmlns:r="http://schemas.openxmlformats.org/officeDocument/2006/relationships" r:embed="rId5" cstate="print"/>
        <a:srcRect/>
        <a:stretch>
          <a:fillRect/>
        </a:stretch>
      </xdr:blipFill>
      <xdr:spPr bwMode="auto">
        <a:xfrm>
          <a:off x="20227925" y="13601700"/>
          <a:ext cx="314325" cy="196850"/>
        </a:xfrm>
        <a:prstGeom prst="rect">
          <a:avLst/>
        </a:prstGeom>
        <a:noFill/>
        <a:ln w="9525">
          <a:noFill/>
          <a:miter lim="800000"/>
          <a:headEnd/>
          <a:tailEnd/>
        </a:ln>
      </xdr:spPr>
    </xdr:pic>
    <xdr:clientData/>
  </xdr:twoCellAnchor>
  <xdr:twoCellAnchor editAs="oneCell">
    <xdr:from>
      <xdr:col>16</xdr:col>
      <xdr:colOff>431800</xdr:colOff>
      <xdr:row>25</xdr:row>
      <xdr:rowOff>152400</xdr:rowOff>
    </xdr:from>
    <xdr:to>
      <xdr:col>17</xdr:col>
      <xdr:colOff>609600</xdr:colOff>
      <xdr:row>28</xdr:row>
      <xdr:rowOff>28575</xdr:rowOff>
    </xdr:to>
    <xdr:pic>
      <xdr:nvPicPr>
        <xdr:cNvPr id="32" name="Picture 24"/>
        <xdr:cNvPicPr>
          <a:picLocks noChangeAspect="1" noChangeArrowheads="1"/>
        </xdr:cNvPicPr>
      </xdr:nvPicPr>
      <xdr:blipFill>
        <a:blip xmlns:r="http://schemas.openxmlformats.org/officeDocument/2006/relationships" r:embed="rId6" cstate="print"/>
        <a:srcRect/>
        <a:stretch>
          <a:fillRect/>
        </a:stretch>
      </xdr:blipFill>
      <xdr:spPr bwMode="auto">
        <a:xfrm>
          <a:off x="15798800" y="6807200"/>
          <a:ext cx="939800" cy="447675"/>
        </a:xfrm>
        <a:prstGeom prst="rect">
          <a:avLst/>
        </a:prstGeom>
        <a:noFill/>
      </xdr:spPr>
    </xdr:pic>
    <xdr:clientData/>
  </xdr:twoCellAnchor>
  <xdr:twoCellAnchor>
    <xdr:from>
      <xdr:col>17</xdr:col>
      <xdr:colOff>393700</xdr:colOff>
      <xdr:row>26</xdr:row>
      <xdr:rowOff>101600</xdr:rowOff>
    </xdr:from>
    <xdr:to>
      <xdr:col>19</xdr:col>
      <xdr:colOff>546100</xdr:colOff>
      <xdr:row>28</xdr:row>
      <xdr:rowOff>50800</xdr:rowOff>
    </xdr:to>
    <xdr:sp macro="" textlink="">
      <xdr:nvSpPr>
        <xdr:cNvPr id="33" name="32 CuadroTexto"/>
        <xdr:cNvSpPr txBox="1"/>
      </xdr:nvSpPr>
      <xdr:spPr>
        <a:xfrm>
          <a:off x="16522700" y="6946900"/>
          <a:ext cx="177800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ES" sz="1600" b="1">
              <a:latin typeface="Garamond" pitchFamily="18" charset="0"/>
            </a:rPr>
            <a:t>=</a:t>
          </a:r>
          <a:r>
            <a:rPr lang="es-ES" sz="1600" b="1" baseline="0">
              <a:latin typeface="Garamond" pitchFamily="18" charset="0"/>
            </a:rPr>
            <a:t> Flujos de Pago</a:t>
          </a:r>
          <a:endParaRPr lang="es-ES" sz="1600" b="1">
            <a:latin typeface="Garamond" pitchFamily="18" charset="0"/>
          </a:endParaRPr>
        </a:p>
      </xdr:txBody>
    </xdr:sp>
    <xdr:clientData/>
  </xdr:twoCellAnchor>
  <xdr:twoCellAnchor editAs="oneCell">
    <xdr:from>
      <xdr:col>16</xdr:col>
      <xdr:colOff>698500</xdr:colOff>
      <xdr:row>28</xdr:row>
      <xdr:rowOff>165100</xdr:rowOff>
    </xdr:from>
    <xdr:to>
      <xdr:col>17</xdr:col>
      <xdr:colOff>381000</xdr:colOff>
      <xdr:row>30</xdr:row>
      <xdr:rowOff>129868</xdr:rowOff>
    </xdr:to>
    <xdr:pic>
      <xdr:nvPicPr>
        <xdr:cNvPr id="35" name="Picture 26"/>
        <xdr:cNvPicPr>
          <a:picLocks noChangeAspect="1" noChangeArrowheads="1"/>
        </xdr:cNvPicPr>
      </xdr:nvPicPr>
      <xdr:blipFill>
        <a:blip xmlns:r="http://schemas.openxmlformats.org/officeDocument/2006/relationships" r:embed="rId7" cstate="print"/>
        <a:srcRect/>
        <a:stretch>
          <a:fillRect/>
        </a:stretch>
      </xdr:blipFill>
      <xdr:spPr bwMode="auto">
        <a:xfrm>
          <a:off x="16065500" y="7391400"/>
          <a:ext cx="444500" cy="358468"/>
        </a:xfrm>
        <a:prstGeom prst="rect">
          <a:avLst/>
        </a:prstGeom>
        <a:noFill/>
      </xdr:spPr>
    </xdr:pic>
    <xdr:clientData/>
  </xdr:twoCellAnchor>
  <xdr:twoCellAnchor>
    <xdr:from>
      <xdr:col>17</xdr:col>
      <xdr:colOff>406400</xdr:colOff>
      <xdr:row>29</xdr:row>
      <xdr:rowOff>0</xdr:rowOff>
    </xdr:from>
    <xdr:to>
      <xdr:col>20</xdr:col>
      <xdr:colOff>0</xdr:colOff>
      <xdr:row>32</xdr:row>
      <xdr:rowOff>0</xdr:rowOff>
    </xdr:to>
    <xdr:sp macro="" textlink="">
      <xdr:nvSpPr>
        <xdr:cNvPr id="36" name="35 CuadroTexto"/>
        <xdr:cNvSpPr txBox="1"/>
      </xdr:nvSpPr>
      <xdr:spPr>
        <a:xfrm>
          <a:off x="16535400" y="7429500"/>
          <a:ext cx="1727200" cy="596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s-ES" sz="1600" b="1">
              <a:latin typeface="Garamond" pitchFamily="18" charset="0"/>
            </a:rPr>
            <a:t>=</a:t>
          </a:r>
          <a:r>
            <a:rPr lang="es-ES" sz="1600" b="1" baseline="0">
              <a:latin typeface="Garamond" pitchFamily="18" charset="0"/>
            </a:rPr>
            <a:t> Período de            Pago</a:t>
          </a:r>
          <a:endParaRPr lang="es-ES" sz="1600" b="1">
            <a:latin typeface="Garamond" pitchFamily="18" charset="0"/>
          </a:endParaRPr>
        </a:p>
      </xdr:txBody>
    </xdr:sp>
    <xdr:clientData/>
  </xdr:twoCellAnchor>
  <xdr:twoCellAnchor editAs="oneCell">
    <xdr:from>
      <xdr:col>16</xdr:col>
      <xdr:colOff>736600</xdr:colOff>
      <xdr:row>48</xdr:row>
      <xdr:rowOff>12700</xdr:rowOff>
    </xdr:from>
    <xdr:to>
      <xdr:col>17</xdr:col>
      <xdr:colOff>493486</xdr:colOff>
      <xdr:row>49</xdr:row>
      <xdr:rowOff>190500</xdr:rowOff>
    </xdr:to>
    <xdr:pic>
      <xdr:nvPicPr>
        <xdr:cNvPr id="38" name="Picture 29"/>
        <xdr:cNvPicPr>
          <a:picLocks noChangeAspect="1" noChangeArrowheads="1"/>
        </xdr:cNvPicPr>
      </xdr:nvPicPr>
      <xdr:blipFill>
        <a:blip xmlns:r="http://schemas.openxmlformats.org/officeDocument/2006/relationships" r:embed="rId8" cstate="print"/>
        <a:srcRect/>
        <a:stretch>
          <a:fillRect/>
        </a:stretch>
      </xdr:blipFill>
      <xdr:spPr bwMode="auto">
        <a:xfrm>
          <a:off x="16103600" y="11887200"/>
          <a:ext cx="518886" cy="419100"/>
        </a:xfrm>
        <a:prstGeom prst="rect">
          <a:avLst/>
        </a:prstGeom>
        <a:noFill/>
      </xdr:spPr>
    </xdr:pic>
    <xdr:clientData/>
  </xdr:twoCellAnchor>
  <xdr:twoCellAnchor>
    <xdr:from>
      <xdr:col>17</xdr:col>
      <xdr:colOff>368300</xdr:colOff>
      <xdr:row>48</xdr:row>
      <xdr:rowOff>88900</xdr:rowOff>
    </xdr:from>
    <xdr:to>
      <xdr:col>20</xdr:col>
      <xdr:colOff>469900</xdr:colOff>
      <xdr:row>49</xdr:row>
      <xdr:rowOff>177800</xdr:rowOff>
    </xdr:to>
    <xdr:sp macro="" textlink="">
      <xdr:nvSpPr>
        <xdr:cNvPr id="39" name="38 CuadroTexto"/>
        <xdr:cNvSpPr txBox="1"/>
      </xdr:nvSpPr>
      <xdr:spPr>
        <a:xfrm>
          <a:off x="16497300" y="11963400"/>
          <a:ext cx="223520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ES" sz="1600" b="1">
              <a:latin typeface="Garamond" pitchFamily="18" charset="0"/>
            </a:rPr>
            <a:t>=</a:t>
          </a:r>
          <a:r>
            <a:rPr lang="es-ES" sz="1600" b="1" baseline="0">
              <a:latin typeface="Garamond" pitchFamily="18" charset="0"/>
            </a:rPr>
            <a:t> Frecuencia de pago</a:t>
          </a:r>
          <a:endParaRPr lang="es-ES" sz="1600" b="1">
            <a:latin typeface="Garamond"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19</xdr:col>
          <xdr:colOff>219075</xdr:colOff>
          <xdr:row>15</xdr:row>
          <xdr:rowOff>161925</xdr:rowOff>
        </xdr:from>
        <xdr:to>
          <xdr:col>23</xdr:col>
          <xdr:colOff>666750</xdr:colOff>
          <xdr:row>21</xdr:row>
          <xdr:rowOff>28575</xdr:rowOff>
        </xdr:to>
        <xdr:sp macro="" textlink="">
          <xdr:nvSpPr>
            <xdr:cNvPr id="2049" name="Object 1" hidden="1">
              <a:extLst>
                <a:ext uri="{63B3BB69-23CF-44E3-9099-C40C66FF867C}">
                  <a14:compatExt spid="_x0000_s2049"/>
                </a:ext>
              </a:extLst>
            </xdr:cNvPr>
            <xdr:cNvSpPr/>
          </xdr:nvSpPr>
          <xdr:spPr bwMode="auto">
            <a:xfrm>
              <a:off x="0" y="0"/>
              <a:ext cx="0" cy="0"/>
            </a:xfrm>
            <a:prstGeom prst="rect">
              <a:avLst/>
            </a:prstGeom>
            <a:noFill/>
            <a:ln>
              <a:noFill/>
            </a:ln>
            <a:extLst>
              <a:ext uri="{909E8E84-426E-40DD-AFC4-6F175D3DCCD1}">
                <a14:hiddenFill>
                  <a:solidFill>
                    <a:srgbClr val="FFFF99" mc:Ignorable="a14" a14:legacySpreadsheetColorIndex="4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0</xdr:col>
      <xdr:colOff>0</xdr:colOff>
      <xdr:row>0</xdr:row>
      <xdr:rowOff>0</xdr:rowOff>
    </xdr:from>
    <xdr:to>
      <xdr:col>2</xdr:col>
      <xdr:colOff>1165225</xdr:colOff>
      <xdr:row>0</xdr:row>
      <xdr:rowOff>768350</xdr:rowOff>
    </xdr:to>
    <xdr:pic>
      <xdr:nvPicPr>
        <xdr:cNvPr id="21" name="2 Imagen" descr="LOGOEXCEL.png"/>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0" y="0"/>
          <a:ext cx="1800225" cy="768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21</xdr:col>
      <xdr:colOff>412750</xdr:colOff>
      <xdr:row>61</xdr:row>
      <xdr:rowOff>114299</xdr:rowOff>
    </xdr:from>
    <xdr:to>
      <xdr:col>22</xdr:col>
      <xdr:colOff>330200</xdr:colOff>
      <xdr:row>63</xdr:row>
      <xdr:rowOff>79374</xdr:rowOff>
    </xdr:to>
    <xdr:sp macro="" textlink="">
      <xdr:nvSpPr>
        <xdr:cNvPr id="2" name="AutoShape 25"/>
        <xdr:cNvSpPr>
          <a:spLocks noChangeArrowheads="1"/>
        </xdr:cNvSpPr>
      </xdr:nvSpPr>
      <xdr:spPr bwMode="auto">
        <a:xfrm>
          <a:off x="18129250" y="14611349"/>
          <a:ext cx="422275" cy="517525"/>
        </a:xfrm>
        <a:prstGeom prst="downArrow">
          <a:avLst>
            <a:gd name="adj1" fmla="val 50000"/>
            <a:gd name="adj2" fmla="val 35416"/>
          </a:avLst>
        </a:prstGeom>
        <a:solidFill>
          <a:srgbClr val="0000FF"/>
        </a:solidFill>
        <a:ln w="9525">
          <a:solidFill>
            <a:srgbClr val="0000FF"/>
          </a:solidFill>
          <a:miter lim="800000"/>
          <a:headEnd/>
          <a:tailEnd/>
        </a:ln>
      </xdr:spPr>
    </xdr:sp>
    <xdr:clientData/>
  </xdr:twoCellAnchor>
  <xdr:twoCellAnchor>
    <xdr:from>
      <xdr:col>4</xdr:col>
      <xdr:colOff>676275</xdr:colOff>
      <xdr:row>31</xdr:row>
      <xdr:rowOff>127000</xdr:rowOff>
    </xdr:from>
    <xdr:to>
      <xdr:col>7</xdr:col>
      <xdr:colOff>390525</xdr:colOff>
      <xdr:row>35</xdr:row>
      <xdr:rowOff>238125</xdr:rowOff>
    </xdr:to>
    <xdr:sp macro="" textlink="">
      <xdr:nvSpPr>
        <xdr:cNvPr id="3" name="AutoShape 27"/>
        <xdr:cNvSpPr>
          <a:spLocks noChangeArrowheads="1"/>
        </xdr:cNvSpPr>
      </xdr:nvSpPr>
      <xdr:spPr bwMode="auto">
        <a:xfrm>
          <a:off x="4905375" y="7518400"/>
          <a:ext cx="2838450" cy="854075"/>
        </a:xfrm>
        <a:custGeom>
          <a:avLst/>
          <a:gdLst>
            <a:gd name="T0" fmla="*/ 2147483647 w 21600"/>
            <a:gd name="T1" fmla="*/ 0 h 21600"/>
            <a:gd name="T2" fmla="*/ 0 w 21600"/>
            <a:gd name="T3" fmla="*/ 2147483647 h 21600"/>
            <a:gd name="T4" fmla="*/ 2147483647 w 21600"/>
            <a:gd name="T5" fmla="*/ 2147483647 h 21600"/>
            <a:gd name="T6" fmla="*/ 2147483647 w 21600"/>
            <a:gd name="T7" fmla="*/ 2147483647 h 21600"/>
            <a:gd name="T8" fmla="*/ 17694720 60000 65536"/>
            <a:gd name="T9" fmla="*/ 11796480 60000 65536"/>
            <a:gd name="T10" fmla="*/ 5898240 60000 65536"/>
            <a:gd name="T11" fmla="*/ 0 60000 65536"/>
            <a:gd name="T12" fmla="*/ 3375 w 21600"/>
            <a:gd name="T13" fmla="*/ 5400 h 21600"/>
            <a:gd name="T14" fmla="*/ 18900 w 21600"/>
            <a:gd name="T15" fmla="*/ 16200 h 21600"/>
          </a:gdLst>
          <a:ahLst/>
          <a:cxnLst>
            <a:cxn ang="T8">
              <a:pos x="T0" y="T1"/>
            </a:cxn>
            <a:cxn ang="T9">
              <a:pos x="T2" y="T3"/>
            </a:cxn>
            <a:cxn ang="T10">
              <a:pos x="T4" y="T5"/>
            </a:cxn>
            <a:cxn ang="T11">
              <a:pos x="T6" y="T7"/>
            </a:cxn>
          </a:cxnLst>
          <a:rect l="T12" t="T13" r="T14" b="T15"/>
          <a:pathLst>
            <a:path w="21600" h="21600">
              <a:moveTo>
                <a:pt x="16200" y="0"/>
              </a:moveTo>
              <a:lnTo>
                <a:pt x="16200" y="5400"/>
              </a:lnTo>
              <a:lnTo>
                <a:pt x="3375" y="5400"/>
              </a:lnTo>
              <a:lnTo>
                <a:pt x="3375" y="16200"/>
              </a:lnTo>
              <a:lnTo>
                <a:pt x="16200" y="16200"/>
              </a:lnTo>
              <a:lnTo>
                <a:pt x="16200" y="21600"/>
              </a:lnTo>
              <a:lnTo>
                <a:pt x="21600" y="10800"/>
              </a:lnTo>
              <a:close/>
            </a:path>
            <a:path w="21600" h="21600">
              <a:moveTo>
                <a:pt x="1350" y="5400"/>
              </a:moveTo>
              <a:lnTo>
                <a:pt x="1350" y="16200"/>
              </a:lnTo>
              <a:lnTo>
                <a:pt x="2700" y="16200"/>
              </a:lnTo>
              <a:lnTo>
                <a:pt x="2700" y="5400"/>
              </a:lnTo>
              <a:close/>
            </a:path>
            <a:path w="21600" h="21600">
              <a:moveTo>
                <a:pt x="0" y="5400"/>
              </a:moveTo>
              <a:lnTo>
                <a:pt x="0" y="16200"/>
              </a:lnTo>
              <a:lnTo>
                <a:pt x="675" y="16200"/>
              </a:lnTo>
              <a:lnTo>
                <a:pt x="675" y="5400"/>
              </a:lnTo>
              <a:close/>
            </a:path>
          </a:pathLst>
        </a:custGeom>
        <a:solidFill>
          <a:srgbClr val="0000FF"/>
        </a:solidFill>
        <a:ln w="9525">
          <a:solidFill>
            <a:srgbClr val="0000FF"/>
          </a:solidFill>
          <a:miter lim="800000"/>
          <a:headEnd/>
          <a:tailEnd/>
        </a:ln>
      </xdr:spPr>
    </xdr:sp>
    <xdr:clientData/>
  </xdr:twoCellAnchor>
  <xdr:twoCellAnchor>
    <xdr:from>
      <xdr:col>3</xdr:col>
      <xdr:colOff>1130299</xdr:colOff>
      <xdr:row>40</xdr:row>
      <xdr:rowOff>88900</xdr:rowOff>
    </xdr:from>
    <xdr:to>
      <xdr:col>3</xdr:col>
      <xdr:colOff>1381124</xdr:colOff>
      <xdr:row>41</xdr:row>
      <xdr:rowOff>352425</xdr:rowOff>
    </xdr:to>
    <xdr:sp macro="" textlink="">
      <xdr:nvSpPr>
        <xdr:cNvPr id="4" name="49 Flecha curvada hacia arriba"/>
        <xdr:cNvSpPr>
          <a:spLocks noChangeArrowheads="1"/>
        </xdr:cNvSpPr>
      </xdr:nvSpPr>
      <xdr:spPr bwMode="auto">
        <a:xfrm rot="16200000" flipH="1">
          <a:off x="3590924" y="8982075"/>
          <a:ext cx="511175" cy="250825"/>
        </a:xfrm>
        <a:prstGeom prst="curvedUpArrow">
          <a:avLst>
            <a:gd name="adj1" fmla="val 25000"/>
            <a:gd name="adj2" fmla="val 50000"/>
            <a:gd name="adj3" fmla="val 25000"/>
          </a:avLst>
        </a:prstGeom>
        <a:solidFill>
          <a:srgbClr val="0000FF"/>
        </a:solidFill>
        <a:ln w="9525" algn="ctr">
          <a:solidFill>
            <a:srgbClr val="0000FF"/>
          </a:solidFill>
          <a:round/>
          <a:headEnd/>
          <a:tailEnd/>
        </a:ln>
      </xdr:spPr>
    </xdr:sp>
    <xdr:clientData/>
  </xdr:twoCellAnchor>
  <xdr:twoCellAnchor editAs="oneCell">
    <xdr:from>
      <xdr:col>21</xdr:col>
      <xdr:colOff>88900</xdr:colOff>
      <xdr:row>42</xdr:row>
      <xdr:rowOff>101600</xdr:rowOff>
    </xdr:from>
    <xdr:to>
      <xdr:col>26</xdr:col>
      <xdr:colOff>304800</xdr:colOff>
      <xdr:row>46</xdr:row>
      <xdr:rowOff>131399</xdr:rowOff>
    </xdr:to>
    <xdr:pic>
      <xdr:nvPicPr>
        <xdr:cNvPr id="5" name="Picture 68"/>
        <xdr:cNvPicPr>
          <a:picLocks noChangeAspect="1" noChangeArrowheads="1"/>
        </xdr:cNvPicPr>
      </xdr:nvPicPr>
      <xdr:blipFill>
        <a:blip xmlns:r="http://schemas.openxmlformats.org/officeDocument/2006/relationships" r:embed="rId1" cstate="print"/>
        <a:srcRect/>
        <a:stretch>
          <a:fillRect/>
        </a:stretch>
      </xdr:blipFill>
      <xdr:spPr bwMode="auto">
        <a:xfrm>
          <a:off x="17805400" y="9979025"/>
          <a:ext cx="3511550" cy="982299"/>
        </a:xfrm>
        <a:prstGeom prst="rect">
          <a:avLst/>
        </a:prstGeom>
        <a:noFill/>
        <a:ln w="9525">
          <a:noFill/>
          <a:miter lim="800000"/>
          <a:headEnd/>
          <a:tailEnd/>
        </a:ln>
      </xdr:spPr>
    </xdr:pic>
    <xdr:clientData/>
  </xdr:twoCellAnchor>
  <xdr:twoCellAnchor editAs="oneCell">
    <xdr:from>
      <xdr:col>19</xdr:col>
      <xdr:colOff>444500</xdr:colOff>
      <xdr:row>56</xdr:row>
      <xdr:rowOff>12700</xdr:rowOff>
    </xdr:from>
    <xdr:to>
      <xdr:col>20</xdr:col>
      <xdr:colOff>688975</xdr:colOff>
      <xdr:row>57</xdr:row>
      <xdr:rowOff>250825</xdr:rowOff>
    </xdr:to>
    <xdr:pic>
      <xdr:nvPicPr>
        <xdr:cNvPr id="6" name="Picture 70"/>
        <xdr:cNvPicPr>
          <a:picLocks noChangeAspect="1" noChangeArrowheads="1"/>
        </xdr:cNvPicPr>
      </xdr:nvPicPr>
      <xdr:blipFill>
        <a:blip xmlns:r="http://schemas.openxmlformats.org/officeDocument/2006/relationships" r:embed="rId2" cstate="print"/>
        <a:srcRect/>
        <a:stretch>
          <a:fillRect/>
        </a:stretch>
      </xdr:blipFill>
      <xdr:spPr bwMode="auto">
        <a:xfrm>
          <a:off x="16541750" y="13214350"/>
          <a:ext cx="1054100" cy="600075"/>
        </a:xfrm>
        <a:prstGeom prst="rect">
          <a:avLst/>
        </a:prstGeom>
        <a:noFill/>
        <a:ln w="9525">
          <a:noFill/>
          <a:miter lim="800000"/>
          <a:headEnd/>
          <a:tailEnd/>
        </a:ln>
      </xdr:spPr>
    </xdr:pic>
    <xdr:clientData/>
  </xdr:twoCellAnchor>
  <xdr:twoCellAnchor>
    <xdr:from>
      <xdr:col>23</xdr:col>
      <xdr:colOff>333375</xdr:colOff>
      <xdr:row>57</xdr:row>
      <xdr:rowOff>25400</xdr:rowOff>
    </xdr:from>
    <xdr:to>
      <xdr:col>24</xdr:col>
      <xdr:colOff>165100</xdr:colOff>
      <xdr:row>57</xdr:row>
      <xdr:rowOff>25400</xdr:rowOff>
    </xdr:to>
    <xdr:cxnSp macro="">
      <xdr:nvCxnSpPr>
        <xdr:cNvPr id="7" name="60 Conector recto"/>
        <xdr:cNvCxnSpPr>
          <a:cxnSpLocks noChangeShapeType="1"/>
        </xdr:cNvCxnSpPr>
      </xdr:nvCxnSpPr>
      <xdr:spPr bwMode="auto">
        <a:xfrm>
          <a:off x="19345275" y="13589000"/>
          <a:ext cx="641350" cy="0"/>
        </a:xfrm>
        <a:prstGeom prst="line">
          <a:avLst/>
        </a:prstGeom>
        <a:noFill/>
        <a:ln w="9525" algn="ctr">
          <a:solidFill>
            <a:srgbClr val="000000"/>
          </a:solidFill>
          <a:round/>
          <a:headEnd/>
          <a:tailEnd/>
        </a:ln>
      </xdr:spPr>
    </xdr:cxnSp>
    <xdr:clientData/>
  </xdr:twoCellAnchor>
  <xdr:twoCellAnchor>
    <xdr:from>
      <xdr:col>23</xdr:col>
      <xdr:colOff>777875</xdr:colOff>
      <xdr:row>54</xdr:row>
      <xdr:rowOff>9525</xdr:rowOff>
    </xdr:from>
    <xdr:to>
      <xdr:col>25</xdr:col>
      <xdr:colOff>123825</xdr:colOff>
      <xdr:row>54</xdr:row>
      <xdr:rowOff>9525</xdr:rowOff>
    </xdr:to>
    <xdr:cxnSp macro="">
      <xdr:nvCxnSpPr>
        <xdr:cNvPr id="8" name="61 Conector recto"/>
        <xdr:cNvCxnSpPr>
          <a:cxnSpLocks noChangeShapeType="1"/>
        </xdr:cNvCxnSpPr>
      </xdr:nvCxnSpPr>
      <xdr:spPr bwMode="auto">
        <a:xfrm flipV="1">
          <a:off x="19789775" y="12820650"/>
          <a:ext cx="584200" cy="0"/>
        </a:xfrm>
        <a:prstGeom prst="line">
          <a:avLst/>
        </a:prstGeom>
        <a:noFill/>
        <a:ln w="9525" algn="ctr">
          <a:solidFill>
            <a:srgbClr val="000000"/>
          </a:solidFill>
          <a:round/>
          <a:headEnd/>
          <a:tailEnd/>
        </a:ln>
      </xdr:spPr>
    </xdr:cxnSp>
    <xdr:clientData/>
  </xdr:twoCellAnchor>
  <xdr:twoCellAnchor>
    <xdr:from>
      <xdr:col>20</xdr:col>
      <xdr:colOff>695324</xdr:colOff>
      <xdr:row>54</xdr:row>
      <xdr:rowOff>127000</xdr:rowOff>
    </xdr:from>
    <xdr:to>
      <xdr:col>24</xdr:col>
      <xdr:colOff>215900</xdr:colOff>
      <xdr:row>60</xdr:row>
      <xdr:rowOff>0</xdr:rowOff>
    </xdr:to>
    <xdr:sp macro="" textlink="">
      <xdr:nvSpPr>
        <xdr:cNvPr id="9" name="64 Corchetes"/>
        <xdr:cNvSpPr>
          <a:spLocks noChangeArrowheads="1"/>
        </xdr:cNvSpPr>
      </xdr:nvSpPr>
      <xdr:spPr bwMode="auto">
        <a:xfrm>
          <a:off x="17602199" y="12938125"/>
          <a:ext cx="2435226" cy="1368425"/>
        </a:xfrm>
        <a:prstGeom prst="bracketPair">
          <a:avLst>
            <a:gd name="adj" fmla="val 16667"/>
          </a:avLst>
        </a:prstGeom>
        <a:noFill/>
        <a:ln w="9525" algn="ctr">
          <a:solidFill>
            <a:srgbClr val="000000"/>
          </a:solidFill>
          <a:round/>
          <a:headEnd/>
          <a:tailEnd/>
        </a:ln>
      </xdr:spPr>
    </xdr:sp>
    <xdr:clientData/>
  </xdr:twoCellAnchor>
  <xdr:twoCellAnchor editAs="oneCell">
    <xdr:from>
      <xdr:col>21</xdr:col>
      <xdr:colOff>288925</xdr:colOff>
      <xdr:row>56</xdr:row>
      <xdr:rowOff>266700</xdr:rowOff>
    </xdr:from>
    <xdr:to>
      <xdr:col>21</xdr:col>
      <xdr:colOff>450850</xdr:colOff>
      <xdr:row>57</xdr:row>
      <xdr:rowOff>104775</xdr:rowOff>
    </xdr:to>
    <xdr:pic>
      <xdr:nvPicPr>
        <xdr:cNvPr id="10" name="Picture 95"/>
        <xdr:cNvPicPr>
          <a:picLocks noChangeAspect="1" noChangeArrowheads="1"/>
        </xdr:cNvPicPr>
      </xdr:nvPicPr>
      <xdr:blipFill>
        <a:blip xmlns:r="http://schemas.openxmlformats.org/officeDocument/2006/relationships" r:embed="rId3" cstate="print"/>
        <a:srcRect/>
        <a:stretch>
          <a:fillRect/>
        </a:stretch>
      </xdr:blipFill>
      <xdr:spPr bwMode="auto">
        <a:xfrm>
          <a:off x="18005425" y="13468350"/>
          <a:ext cx="161925" cy="200025"/>
        </a:xfrm>
        <a:prstGeom prst="rect">
          <a:avLst/>
        </a:prstGeom>
        <a:noFill/>
        <a:ln w="9525">
          <a:noFill/>
          <a:miter lim="800000"/>
          <a:headEnd/>
          <a:tailEnd/>
        </a:ln>
      </xdr:spPr>
    </xdr:pic>
    <xdr:clientData/>
  </xdr:twoCellAnchor>
  <xdr:twoCellAnchor editAs="oneCell">
    <xdr:from>
      <xdr:col>23</xdr:col>
      <xdr:colOff>53975</xdr:colOff>
      <xdr:row>56</xdr:row>
      <xdr:rowOff>295275</xdr:rowOff>
    </xdr:from>
    <xdr:to>
      <xdr:col>23</xdr:col>
      <xdr:colOff>247650</xdr:colOff>
      <xdr:row>57</xdr:row>
      <xdr:rowOff>161925</xdr:rowOff>
    </xdr:to>
    <xdr:pic>
      <xdr:nvPicPr>
        <xdr:cNvPr id="11" name="Picture 66"/>
        <xdr:cNvPicPr>
          <a:picLocks noChangeAspect="1" noChangeArrowheads="1"/>
        </xdr:cNvPicPr>
      </xdr:nvPicPr>
      <xdr:blipFill>
        <a:blip xmlns:r="http://schemas.openxmlformats.org/officeDocument/2006/relationships" r:embed="rId4" cstate="print"/>
        <a:srcRect/>
        <a:stretch>
          <a:fillRect/>
        </a:stretch>
      </xdr:blipFill>
      <xdr:spPr bwMode="auto">
        <a:xfrm>
          <a:off x="19065875" y="13496925"/>
          <a:ext cx="193675" cy="228600"/>
        </a:xfrm>
        <a:prstGeom prst="rect">
          <a:avLst/>
        </a:prstGeom>
        <a:noFill/>
        <a:ln w="9525">
          <a:noFill/>
          <a:miter lim="800000"/>
          <a:headEnd/>
          <a:tailEnd/>
        </a:ln>
      </xdr:spPr>
    </xdr:pic>
    <xdr:clientData/>
  </xdr:twoCellAnchor>
  <xdr:twoCellAnchor editAs="oneCell">
    <xdr:from>
      <xdr:col>24</xdr:col>
      <xdr:colOff>365125</xdr:colOff>
      <xdr:row>56</xdr:row>
      <xdr:rowOff>292100</xdr:rowOff>
    </xdr:from>
    <xdr:to>
      <xdr:col>25</xdr:col>
      <xdr:colOff>247650</xdr:colOff>
      <xdr:row>57</xdr:row>
      <xdr:rowOff>120650</xdr:rowOff>
    </xdr:to>
    <xdr:pic>
      <xdr:nvPicPr>
        <xdr:cNvPr id="12" name="Picture 97"/>
        <xdr:cNvPicPr>
          <a:picLocks noChangeAspect="1" noChangeArrowheads="1"/>
        </xdr:cNvPicPr>
      </xdr:nvPicPr>
      <xdr:blipFill>
        <a:blip xmlns:r="http://schemas.openxmlformats.org/officeDocument/2006/relationships" r:embed="rId5" cstate="print"/>
        <a:srcRect/>
        <a:stretch>
          <a:fillRect/>
        </a:stretch>
      </xdr:blipFill>
      <xdr:spPr bwMode="auto">
        <a:xfrm>
          <a:off x="20186650" y="13493750"/>
          <a:ext cx="311150" cy="190500"/>
        </a:xfrm>
        <a:prstGeom prst="rect">
          <a:avLst/>
        </a:prstGeom>
        <a:noFill/>
        <a:ln w="9525">
          <a:noFill/>
          <a:miter lim="800000"/>
          <a:headEnd/>
          <a:tailEnd/>
        </a:ln>
      </xdr:spPr>
    </xdr:pic>
    <xdr:clientData/>
  </xdr:twoCellAnchor>
  <xdr:twoCellAnchor editAs="oneCell">
    <xdr:from>
      <xdr:col>18</xdr:col>
      <xdr:colOff>431800</xdr:colOff>
      <xdr:row>27</xdr:row>
      <xdr:rowOff>152400</xdr:rowOff>
    </xdr:from>
    <xdr:to>
      <xdr:col>19</xdr:col>
      <xdr:colOff>609600</xdr:colOff>
      <xdr:row>30</xdr:row>
      <xdr:rowOff>28575</xdr:rowOff>
    </xdr:to>
    <xdr:pic>
      <xdr:nvPicPr>
        <xdr:cNvPr id="14" name="Picture 24"/>
        <xdr:cNvPicPr>
          <a:picLocks noChangeAspect="1" noChangeArrowheads="1"/>
        </xdr:cNvPicPr>
      </xdr:nvPicPr>
      <xdr:blipFill>
        <a:blip xmlns:r="http://schemas.openxmlformats.org/officeDocument/2006/relationships" r:embed="rId6" cstate="print"/>
        <a:srcRect/>
        <a:stretch>
          <a:fillRect/>
        </a:stretch>
      </xdr:blipFill>
      <xdr:spPr bwMode="auto">
        <a:xfrm>
          <a:off x="15767050" y="6772275"/>
          <a:ext cx="939800" cy="447675"/>
        </a:xfrm>
        <a:prstGeom prst="rect">
          <a:avLst/>
        </a:prstGeom>
        <a:noFill/>
      </xdr:spPr>
    </xdr:pic>
    <xdr:clientData/>
  </xdr:twoCellAnchor>
  <xdr:twoCellAnchor>
    <xdr:from>
      <xdr:col>19</xdr:col>
      <xdr:colOff>393700</xdr:colOff>
      <xdr:row>28</xdr:row>
      <xdr:rowOff>101600</xdr:rowOff>
    </xdr:from>
    <xdr:to>
      <xdr:col>21</xdr:col>
      <xdr:colOff>546100</xdr:colOff>
      <xdr:row>30</xdr:row>
      <xdr:rowOff>50800</xdr:rowOff>
    </xdr:to>
    <xdr:sp macro="" textlink="">
      <xdr:nvSpPr>
        <xdr:cNvPr id="15" name="14 CuadroTexto"/>
        <xdr:cNvSpPr txBox="1"/>
      </xdr:nvSpPr>
      <xdr:spPr>
        <a:xfrm>
          <a:off x="16490950" y="6911975"/>
          <a:ext cx="173355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ES" sz="1600" b="1">
              <a:latin typeface="Garamond" pitchFamily="18" charset="0"/>
            </a:rPr>
            <a:t>=</a:t>
          </a:r>
          <a:r>
            <a:rPr lang="es-ES" sz="1600" b="1" baseline="0">
              <a:latin typeface="Garamond" pitchFamily="18" charset="0"/>
            </a:rPr>
            <a:t> Flujos de Pago</a:t>
          </a:r>
          <a:endParaRPr lang="es-ES" sz="1600" b="1">
            <a:latin typeface="Garamond" pitchFamily="18" charset="0"/>
          </a:endParaRPr>
        </a:p>
      </xdr:txBody>
    </xdr:sp>
    <xdr:clientData/>
  </xdr:twoCellAnchor>
  <xdr:twoCellAnchor editAs="oneCell">
    <xdr:from>
      <xdr:col>18</xdr:col>
      <xdr:colOff>698500</xdr:colOff>
      <xdr:row>30</xdr:row>
      <xdr:rowOff>165100</xdr:rowOff>
    </xdr:from>
    <xdr:to>
      <xdr:col>19</xdr:col>
      <xdr:colOff>381000</xdr:colOff>
      <xdr:row>32</xdr:row>
      <xdr:rowOff>129868</xdr:rowOff>
    </xdr:to>
    <xdr:pic>
      <xdr:nvPicPr>
        <xdr:cNvPr id="16" name="Picture 26"/>
        <xdr:cNvPicPr>
          <a:picLocks noChangeAspect="1" noChangeArrowheads="1"/>
        </xdr:cNvPicPr>
      </xdr:nvPicPr>
      <xdr:blipFill>
        <a:blip xmlns:r="http://schemas.openxmlformats.org/officeDocument/2006/relationships" r:embed="rId7" cstate="print"/>
        <a:srcRect/>
        <a:stretch>
          <a:fillRect/>
        </a:stretch>
      </xdr:blipFill>
      <xdr:spPr bwMode="auto">
        <a:xfrm>
          <a:off x="16033750" y="7356475"/>
          <a:ext cx="444500" cy="355293"/>
        </a:xfrm>
        <a:prstGeom prst="rect">
          <a:avLst/>
        </a:prstGeom>
        <a:noFill/>
      </xdr:spPr>
    </xdr:pic>
    <xdr:clientData/>
  </xdr:twoCellAnchor>
  <xdr:twoCellAnchor>
    <xdr:from>
      <xdr:col>19</xdr:col>
      <xdr:colOff>406400</xdr:colOff>
      <xdr:row>31</xdr:row>
      <xdr:rowOff>0</xdr:rowOff>
    </xdr:from>
    <xdr:to>
      <xdr:col>22</xdr:col>
      <xdr:colOff>0</xdr:colOff>
      <xdr:row>34</xdr:row>
      <xdr:rowOff>0</xdr:rowOff>
    </xdr:to>
    <xdr:sp macro="" textlink="">
      <xdr:nvSpPr>
        <xdr:cNvPr id="17" name="16 CuadroTexto"/>
        <xdr:cNvSpPr txBox="1"/>
      </xdr:nvSpPr>
      <xdr:spPr>
        <a:xfrm>
          <a:off x="16503650" y="7391400"/>
          <a:ext cx="1717675" cy="590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s-ES" sz="1600" b="1">
              <a:latin typeface="Garamond" pitchFamily="18" charset="0"/>
            </a:rPr>
            <a:t>=</a:t>
          </a:r>
          <a:r>
            <a:rPr lang="es-ES" sz="1600" b="1" baseline="0">
              <a:latin typeface="Garamond" pitchFamily="18" charset="0"/>
            </a:rPr>
            <a:t> Período de            Pago</a:t>
          </a:r>
          <a:endParaRPr lang="es-ES" sz="1600" b="1">
            <a:latin typeface="Garamond" pitchFamily="18" charset="0"/>
          </a:endParaRPr>
        </a:p>
      </xdr:txBody>
    </xdr:sp>
    <xdr:clientData/>
  </xdr:twoCellAnchor>
  <xdr:twoCellAnchor editAs="oneCell">
    <xdr:from>
      <xdr:col>18</xdr:col>
      <xdr:colOff>736600</xdr:colOff>
      <xdr:row>50</xdr:row>
      <xdr:rowOff>12700</xdr:rowOff>
    </xdr:from>
    <xdr:to>
      <xdr:col>19</xdr:col>
      <xdr:colOff>493486</xdr:colOff>
      <xdr:row>51</xdr:row>
      <xdr:rowOff>190500</xdr:rowOff>
    </xdr:to>
    <xdr:pic>
      <xdr:nvPicPr>
        <xdr:cNvPr id="18" name="Picture 29"/>
        <xdr:cNvPicPr>
          <a:picLocks noChangeAspect="1" noChangeArrowheads="1"/>
        </xdr:cNvPicPr>
      </xdr:nvPicPr>
      <xdr:blipFill>
        <a:blip xmlns:r="http://schemas.openxmlformats.org/officeDocument/2006/relationships" r:embed="rId8" cstate="print"/>
        <a:srcRect/>
        <a:stretch>
          <a:fillRect/>
        </a:stretch>
      </xdr:blipFill>
      <xdr:spPr bwMode="auto">
        <a:xfrm>
          <a:off x="16071850" y="11795125"/>
          <a:ext cx="518886" cy="415925"/>
        </a:xfrm>
        <a:prstGeom prst="rect">
          <a:avLst/>
        </a:prstGeom>
        <a:noFill/>
      </xdr:spPr>
    </xdr:pic>
    <xdr:clientData/>
  </xdr:twoCellAnchor>
  <xdr:twoCellAnchor>
    <xdr:from>
      <xdr:col>19</xdr:col>
      <xdr:colOff>368300</xdr:colOff>
      <xdr:row>50</xdr:row>
      <xdr:rowOff>88900</xdr:rowOff>
    </xdr:from>
    <xdr:to>
      <xdr:col>22</xdr:col>
      <xdr:colOff>469900</xdr:colOff>
      <xdr:row>51</xdr:row>
      <xdr:rowOff>177800</xdr:rowOff>
    </xdr:to>
    <xdr:sp macro="" textlink="">
      <xdr:nvSpPr>
        <xdr:cNvPr id="19" name="18 CuadroTexto"/>
        <xdr:cNvSpPr txBox="1"/>
      </xdr:nvSpPr>
      <xdr:spPr>
        <a:xfrm>
          <a:off x="16465550" y="11871325"/>
          <a:ext cx="2225675" cy="327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ES" sz="1600" b="1">
              <a:latin typeface="Garamond" pitchFamily="18" charset="0"/>
            </a:rPr>
            <a:t>=</a:t>
          </a:r>
          <a:r>
            <a:rPr lang="es-ES" sz="1600" b="1" baseline="0">
              <a:latin typeface="Garamond" pitchFamily="18" charset="0"/>
            </a:rPr>
            <a:t> Frecuencia de pago</a:t>
          </a:r>
          <a:endParaRPr lang="es-ES" sz="1600" b="1">
            <a:latin typeface="Garamond" pitchFamily="18" charset="0"/>
          </a:endParaRPr>
        </a:p>
      </xdr:txBody>
    </xdr:sp>
    <xdr:clientData/>
  </xdr:twoCellAnchor>
  <xdr:twoCellAnchor>
    <xdr:from>
      <xdr:col>4</xdr:col>
      <xdr:colOff>736600</xdr:colOff>
      <xdr:row>19</xdr:row>
      <xdr:rowOff>177800</xdr:rowOff>
    </xdr:from>
    <xdr:to>
      <xdr:col>7</xdr:col>
      <xdr:colOff>15875</xdr:colOff>
      <xdr:row>31</xdr:row>
      <xdr:rowOff>142875</xdr:rowOff>
    </xdr:to>
    <xdr:sp macro="" textlink="">
      <xdr:nvSpPr>
        <xdr:cNvPr id="28" name="AutoShape 30"/>
        <xdr:cNvSpPr>
          <a:spLocks noChangeArrowheads="1"/>
        </xdr:cNvSpPr>
      </xdr:nvSpPr>
      <xdr:spPr bwMode="auto">
        <a:xfrm>
          <a:off x="4978400" y="5943600"/>
          <a:ext cx="2403475" cy="2263775"/>
        </a:xfrm>
        <a:prstGeom prst="irregularSeal2">
          <a:avLst/>
        </a:prstGeom>
        <a:solidFill>
          <a:schemeClr val="accent1">
            <a:lumMod val="60000"/>
            <a:lumOff val="40000"/>
          </a:schemeClr>
        </a:solidFill>
        <a:ln w="9525">
          <a:solidFill>
            <a:srgbClr val="0000FF"/>
          </a:solidFill>
          <a:miter lim="800000"/>
          <a:headEnd/>
          <a:tailEnd/>
        </a:ln>
        <a:effectLst>
          <a:glow rad="101600">
            <a:schemeClr val="accent1">
              <a:satMod val="175000"/>
              <a:alpha val="40000"/>
            </a:schemeClr>
          </a:glow>
        </a:effectLst>
      </xdr:spPr>
      <xdr:txBody>
        <a:bodyPr vertOverflow="clip" wrap="square" lIns="27432" tIns="18288" rIns="0" bIns="0" anchor="t" upright="1"/>
        <a:lstStyle/>
        <a:p>
          <a:pPr algn="l" rtl="0">
            <a:defRPr sz="1000"/>
          </a:pPr>
          <a:endParaRPr lang="es-ES" sz="1000" b="1" i="0" u="none" strike="noStrike" baseline="0">
            <a:solidFill>
              <a:sysClr val="windowText" lastClr="000000"/>
            </a:solidFill>
            <a:latin typeface="Arial"/>
            <a:cs typeface="Arial"/>
          </a:endParaRPr>
        </a:p>
        <a:p>
          <a:pPr algn="l" rtl="0">
            <a:defRPr sz="1000"/>
          </a:pPr>
          <a:r>
            <a:rPr lang="es-ES" sz="1000" b="1" i="0" u="none" strike="noStrike" baseline="0">
              <a:solidFill>
                <a:sysClr val="windowText" lastClr="000000"/>
              </a:solidFill>
              <a:latin typeface="Arial"/>
              <a:cs typeface="Arial"/>
            </a:rPr>
            <a:t>En este caso la TIR es diferente de la tasa nominal pactada </a:t>
          </a:r>
        </a:p>
      </xdr:txBody>
    </xdr:sp>
    <xdr:clientData/>
  </xdr:twoCellAnchor>
  <mc:AlternateContent xmlns:mc="http://schemas.openxmlformats.org/markup-compatibility/2006">
    <mc:Choice xmlns:a14="http://schemas.microsoft.com/office/drawing/2010/main" Requires="a14">
      <xdr:twoCellAnchor editAs="oneCell">
        <xdr:from>
          <xdr:col>21</xdr:col>
          <xdr:colOff>219075</xdr:colOff>
          <xdr:row>17</xdr:row>
          <xdr:rowOff>161925</xdr:rowOff>
        </xdr:from>
        <xdr:to>
          <xdr:col>25</xdr:col>
          <xdr:colOff>676275</xdr:colOff>
          <xdr:row>23</xdr:row>
          <xdr:rowOff>28575</xdr:rowOff>
        </xdr:to>
        <xdr:sp macro="" textlink="">
          <xdr:nvSpPr>
            <xdr:cNvPr id="7169" name="Object 1" hidden="1">
              <a:extLst>
                <a:ext uri="{63B3BB69-23CF-44E3-9099-C40C66FF867C}">
                  <a14:compatExt spid="_x0000_s7169"/>
                </a:ext>
              </a:extLst>
            </xdr:cNvPr>
            <xdr:cNvSpPr/>
          </xdr:nvSpPr>
          <xdr:spPr bwMode="auto">
            <a:xfrm>
              <a:off x="0" y="0"/>
              <a:ext cx="0" cy="0"/>
            </a:xfrm>
            <a:prstGeom prst="rect">
              <a:avLst/>
            </a:prstGeom>
            <a:noFill/>
            <a:ln>
              <a:noFill/>
            </a:ln>
            <a:extLst>
              <a:ext uri="{909E8E84-426E-40DD-AFC4-6F175D3DCCD1}">
                <a14:hiddenFill>
                  <a:solidFill>
                    <a:srgbClr val="FFFF99" mc:Ignorable="a14" a14:legacySpreadsheetColorIndex="4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0</xdr:col>
      <xdr:colOff>0</xdr:colOff>
      <xdr:row>0</xdr:row>
      <xdr:rowOff>63500</xdr:rowOff>
    </xdr:from>
    <xdr:to>
      <xdr:col>2</xdr:col>
      <xdr:colOff>1165225</xdr:colOff>
      <xdr:row>0</xdr:row>
      <xdr:rowOff>831850</xdr:rowOff>
    </xdr:to>
    <xdr:pic>
      <xdr:nvPicPr>
        <xdr:cNvPr id="22" name="2 Imagen" descr="LOGOEXCEL.png"/>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0" y="63500"/>
          <a:ext cx="1800225" cy="768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21</xdr:col>
      <xdr:colOff>412750</xdr:colOff>
      <xdr:row>61</xdr:row>
      <xdr:rowOff>114299</xdr:rowOff>
    </xdr:from>
    <xdr:to>
      <xdr:col>22</xdr:col>
      <xdr:colOff>330200</xdr:colOff>
      <xdr:row>63</xdr:row>
      <xdr:rowOff>79374</xdr:rowOff>
    </xdr:to>
    <xdr:sp macro="" textlink="">
      <xdr:nvSpPr>
        <xdr:cNvPr id="2" name="AutoShape 25"/>
        <xdr:cNvSpPr>
          <a:spLocks noChangeArrowheads="1"/>
        </xdr:cNvSpPr>
      </xdr:nvSpPr>
      <xdr:spPr bwMode="auto">
        <a:xfrm>
          <a:off x="20929600" y="15373349"/>
          <a:ext cx="422275" cy="517525"/>
        </a:xfrm>
        <a:prstGeom prst="downArrow">
          <a:avLst>
            <a:gd name="adj1" fmla="val 50000"/>
            <a:gd name="adj2" fmla="val 35416"/>
          </a:avLst>
        </a:prstGeom>
        <a:solidFill>
          <a:srgbClr val="0000FF"/>
        </a:solidFill>
        <a:ln w="9525">
          <a:solidFill>
            <a:srgbClr val="0000FF"/>
          </a:solidFill>
          <a:miter lim="800000"/>
          <a:headEnd/>
          <a:tailEnd/>
        </a:ln>
      </xdr:spPr>
    </xdr:sp>
    <xdr:clientData/>
  </xdr:twoCellAnchor>
  <xdr:twoCellAnchor>
    <xdr:from>
      <xdr:col>4</xdr:col>
      <xdr:colOff>676275</xdr:colOff>
      <xdr:row>31</xdr:row>
      <xdr:rowOff>127000</xdr:rowOff>
    </xdr:from>
    <xdr:to>
      <xdr:col>7</xdr:col>
      <xdr:colOff>390525</xdr:colOff>
      <xdr:row>35</xdr:row>
      <xdr:rowOff>238125</xdr:rowOff>
    </xdr:to>
    <xdr:sp macro="" textlink="">
      <xdr:nvSpPr>
        <xdr:cNvPr id="3" name="AutoShape 27"/>
        <xdr:cNvSpPr>
          <a:spLocks noChangeArrowheads="1"/>
        </xdr:cNvSpPr>
      </xdr:nvSpPr>
      <xdr:spPr bwMode="auto">
        <a:xfrm>
          <a:off x="4905375" y="8147050"/>
          <a:ext cx="2838450" cy="854075"/>
        </a:xfrm>
        <a:custGeom>
          <a:avLst/>
          <a:gdLst>
            <a:gd name="T0" fmla="*/ 2147483647 w 21600"/>
            <a:gd name="T1" fmla="*/ 0 h 21600"/>
            <a:gd name="T2" fmla="*/ 0 w 21600"/>
            <a:gd name="T3" fmla="*/ 2147483647 h 21600"/>
            <a:gd name="T4" fmla="*/ 2147483647 w 21600"/>
            <a:gd name="T5" fmla="*/ 2147483647 h 21600"/>
            <a:gd name="T6" fmla="*/ 2147483647 w 21600"/>
            <a:gd name="T7" fmla="*/ 2147483647 h 21600"/>
            <a:gd name="T8" fmla="*/ 17694720 60000 65536"/>
            <a:gd name="T9" fmla="*/ 11796480 60000 65536"/>
            <a:gd name="T10" fmla="*/ 5898240 60000 65536"/>
            <a:gd name="T11" fmla="*/ 0 60000 65536"/>
            <a:gd name="T12" fmla="*/ 3375 w 21600"/>
            <a:gd name="T13" fmla="*/ 5400 h 21600"/>
            <a:gd name="T14" fmla="*/ 18900 w 21600"/>
            <a:gd name="T15" fmla="*/ 16200 h 21600"/>
          </a:gdLst>
          <a:ahLst/>
          <a:cxnLst>
            <a:cxn ang="T8">
              <a:pos x="T0" y="T1"/>
            </a:cxn>
            <a:cxn ang="T9">
              <a:pos x="T2" y="T3"/>
            </a:cxn>
            <a:cxn ang="T10">
              <a:pos x="T4" y="T5"/>
            </a:cxn>
            <a:cxn ang="T11">
              <a:pos x="T6" y="T7"/>
            </a:cxn>
          </a:cxnLst>
          <a:rect l="T12" t="T13" r="T14" b="T15"/>
          <a:pathLst>
            <a:path w="21600" h="21600">
              <a:moveTo>
                <a:pt x="16200" y="0"/>
              </a:moveTo>
              <a:lnTo>
                <a:pt x="16200" y="5400"/>
              </a:lnTo>
              <a:lnTo>
                <a:pt x="3375" y="5400"/>
              </a:lnTo>
              <a:lnTo>
                <a:pt x="3375" y="16200"/>
              </a:lnTo>
              <a:lnTo>
                <a:pt x="16200" y="16200"/>
              </a:lnTo>
              <a:lnTo>
                <a:pt x="16200" y="21600"/>
              </a:lnTo>
              <a:lnTo>
                <a:pt x="21600" y="10800"/>
              </a:lnTo>
              <a:close/>
            </a:path>
            <a:path w="21600" h="21600">
              <a:moveTo>
                <a:pt x="1350" y="5400"/>
              </a:moveTo>
              <a:lnTo>
                <a:pt x="1350" y="16200"/>
              </a:lnTo>
              <a:lnTo>
                <a:pt x="2700" y="16200"/>
              </a:lnTo>
              <a:lnTo>
                <a:pt x="2700" y="5400"/>
              </a:lnTo>
              <a:close/>
            </a:path>
            <a:path w="21600" h="21600">
              <a:moveTo>
                <a:pt x="0" y="5400"/>
              </a:moveTo>
              <a:lnTo>
                <a:pt x="0" y="16200"/>
              </a:lnTo>
              <a:lnTo>
                <a:pt x="675" y="16200"/>
              </a:lnTo>
              <a:lnTo>
                <a:pt x="675" y="5400"/>
              </a:lnTo>
              <a:close/>
            </a:path>
          </a:pathLst>
        </a:custGeom>
        <a:solidFill>
          <a:srgbClr val="0000FF"/>
        </a:solidFill>
        <a:ln w="9525">
          <a:solidFill>
            <a:srgbClr val="0000FF"/>
          </a:solidFill>
          <a:miter lim="800000"/>
          <a:headEnd/>
          <a:tailEnd/>
        </a:ln>
      </xdr:spPr>
    </xdr:sp>
    <xdr:clientData/>
  </xdr:twoCellAnchor>
  <xdr:twoCellAnchor>
    <xdr:from>
      <xdr:col>3</xdr:col>
      <xdr:colOff>1130299</xdr:colOff>
      <xdr:row>40</xdr:row>
      <xdr:rowOff>88900</xdr:rowOff>
    </xdr:from>
    <xdr:to>
      <xdr:col>3</xdr:col>
      <xdr:colOff>1381124</xdr:colOff>
      <xdr:row>41</xdr:row>
      <xdr:rowOff>352425</xdr:rowOff>
    </xdr:to>
    <xdr:sp macro="" textlink="">
      <xdr:nvSpPr>
        <xdr:cNvPr id="4" name="49 Flecha curvada hacia arriba"/>
        <xdr:cNvSpPr>
          <a:spLocks noChangeArrowheads="1"/>
        </xdr:cNvSpPr>
      </xdr:nvSpPr>
      <xdr:spPr bwMode="auto">
        <a:xfrm rot="16200000" flipH="1">
          <a:off x="3595687" y="10225087"/>
          <a:ext cx="501650" cy="250825"/>
        </a:xfrm>
        <a:prstGeom prst="curvedUpArrow">
          <a:avLst>
            <a:gd name="adj1" fmla="val 25000"/>
            <a:gd name="adj2" fmla="val 50000"/>
            <a:gd name="adj3" fmla="val 25000"/>
          </a:avLst>
        </a:prstGeom>
        <a:solidFill>
          <a:srgbClr val="0000FF"/>
        </a:solidFill>
        <a:ln w="9525" algn="ctr">
          <a:solidFill>
            <a:srgbClr val="0000FF"/>
          </a:solidFill>
          <a:round/>
          <a:headEnd/>
          <a:tailEnd/>
        </a:ln>
      </xdr:spPr>
    </xdr:sp>
    <xdr:clientData/>
  </xdr:twoCellAnchor>
  <xdr:twoCellAnchor editAs="oneCell">
    <xdr:from>
      <xdr:col>21</xdr:col>
      <xdr:colOff>88900</xdr:colOff>
      <xdr:row>42</xdr:row>
      <xdr:rowOff>101600</xdr:rowOff>
    </xdr:from>
    <xdr:to>
      <xdr:col>26</xdr:col>
      <xdr:colOff>304800</xdr:colOff>
      <xdr:row>46</xdr:row>
      <xdr:rowOff>131399</xdr:rowOff>
    </xdr:to>
    <xdr:pic>
      <xdr:nvPicPr>
        <xdr:cNvPr id="5" name="Picture 68"/>
        <xdr:cNvPicPr>
          <a:picLocks noChangeAspect="1" noChangeArrowheads="1"/>
        </xdr:cNvPicPr>
      </xdr:nvPicPr>
      <xdr:blipFill>
        <a:blip xmlns:r="http://schemas.openxmlformats.org/officeDocument/2006/relationships" r:embed="rId1" cstate="print"/>
        <a:srcRect/>
        <a:stretch>
          <a:fillRect/>
        </a:stretch>
      </xdr:blipFill>
      <xdr:spPr bwMode="auto">
        <a:xfrm>
          <a:off x="20605750" y="10741025"/>
          <a:ext cx="3511550" cy="982299"/>
        </a:xfrm>
        <a:prstGeom prst="rect">
          <a:avLst/>
        </a:prstGeom>
        <a:noFill/>
        <a:ln w="9525">
          <a:noFill/>
          <a:miter lim="800000"/>
          <a:headEnd/>
          <a:tailEnd/>
        </a:ln>
      </xdr:spPr>
    </xdr:pic>
    <xdr:clientData/>
  </xdr:twoCellAnchor>
  <xdr:twoCellAnchor editAs="oneCell">
    <xdr:from>
      <xdr:col>19</xdr:col>
      <xdr:colOff>444500</xdr:colOff>
      <xdr:row>56</xdr:row>
      <xdr:rowOff>12700</xdr:rowOff>
    </xdr:from>
    <xdr:to>
      <xdr:col>20</xdr:col>
      <xdr:colOff>688975</xdr:colOff>
      <xdr:row>57</xdr:row>
      <xdr:rowOff>250825</xdr:rowOff>
    </xdr:to>
    <xdr:pic>
      <xdr:nvPicPr>
        <xdr:cNvPr id="6" name="Picture 70"/>
        <xdr:cNvPicPr>
          <a:picLocks noChangeAspect="1" noChangeArrowheads="1"/>
        </xdr:cNvPicPr>
      </xdr:nvPicPr>
      <xdr:blipFill>
        <a:blip xmlns:r="http://schemas.openxmlformats.org/officeDocument/2006/relationships" r:embed="rId2" cstate="print"/>
        <a:srcRect/>
        <a:stretch>
          <a:fillRect/>
        </a:stretch>
      </xdr:blipFill>
      <xdr:spPr bwMode="auto">
        <a:xfrm>
          <a:off x="19342100" y="13976350"/>
          <a:ext cx="1054100" cy="600075"/>
        </a:xfrm>
        <a:prstGeom prst="rect">
          <a:avLst/>
        </a:prstGeom>
        <a:noFill/>
        <a:ln w="9525">
          <a:noFill/>
          <a:miter lim="800000"/>
          <a:headEnd/>
          <a:tailEnd/>
        </a:ln>
      </xdr:spPr>
    </xdr:pic>
    <xdr:clientData/>
  </xdr:twoCellAnchor>
  <xdr:twoCellAnchor>
    <xdr:from>
      <xdr:col>23</xdr:col>
      <xdr:colOff>333375</xdr:colOff>
      <xdr:row>57</xdr:row>
      <xdr:rowOff>25400</xdr:rowOff>
    </xdr:from>
    <xdr:to>
      <xdr:col>24</xdr:col>
      <xdr:colOff>165100</xdr:colOff>
      <xdr:row>57</xdr:row>
      <xdr:rowOff>25400</xdr:rowOff>
    </xdr:to>
    <xdr:cxnSp macro="">
      <xdr:nvCxnSpPr>
        <xdr:cNvPr id="7" name="60 Conector recto"/>
        <xdr:cNvCxnSpPr>
          <a:cxnSpLocks noChangeShapeType="1"/>
        </xdr:cNvCxnSpPr>
      </xdr:nvCxnSpPr>
      <xdr:spPr bwMode="auto">
        <a:xfrm>
          <a:off x="22145625" y="14351000"/>
          <a:ext cx="641350" cy="0"/>
        </a:xfrm>
        <a:prstGeom prst="line">
          <a:avLst/>
        </a:prstGeom>
        <a:noFill/>
        <a:ln w="9525" algn="ctr">
          <a:solidFill>
            <a:srgbClr val="000000"/>
          </a:solidFill>
          <a:round/>
          <a:headEnd/>
          <a:tailEnd/>
        </a:ln>
      </xdr:spPr>
    </xdr:cxnSp>
    <xdr:clientData/>
  </xdr:twoCellAnchor>
  <xdr:twoCellAnchor>
    <xdr:from>
      <xdr:col>23</xdr:col>
      <xdr:colOff>777875</xdr:colOff>
      <xdr:row>54</xdr:row>
      <xdr:rowOff>9525</xdr:rowOff>
    </xdr:from>
    <xdr:to>
      <xdr:col>25</xdr:col>
      <xdr:colOff>123825</xdr:colOff>
      <xdr:row>54</xdr:row>
      <xdr:rowOff>9525</xdr:rowOff>
    </xdr:to>
    <xdr:cxnSp macro="">
      <xdr:nvCxnSpPr>
        <xdr:cNvPr id="8" name="61 Conector recto"/>
        <xdr:cNvCxnSpPr>
          <a:cxnSpLocks noChangeShapeType="1"/>
        </xdr:cNvCxnSpPr>
      </xdr:nvCxnSpPr>
      <xdr:spPr bwMode="auto">
        <a:xfrm flipV="1">
          <a:off x="22590125" y="13582650"/>
          <a:ext cx="584200" cy="0"/>
        </a:xfrm>
        <a:prstGeom prst="line">
          <a:avLst/>
        </a:prstGeom>
        <a:noFill/>
        <a:ln w="9525" algn="ctr">
          <a:solidFill>
            <a:srgbClr val="000000"/>
          </a:solidFill>
          <a:round/>
          <a:headEnd/>
          <a:tailEnd/>
        </a:ln>
      </xdr:spPr>
    </xdr:cxnSp>
    <xdr:clientData/>
  </xdr:twoCellAnchor>
  <xdr:twoCellAnchor>
    <xdr:from>
      <xdr:col>20</xdr:col>
      <xdr:colOff>695324</xdr:colOff>
      <xdr:row>54</xdr:row>
      <xdr:rowOff>127000</xdr:rowOff>
    </xdr:from>
    <xdr:to>
      <xdr:col>24</xdr:col>
      <xdr:colOff>215900</xdr:colOff>
      <xdr:row>60</xdr:row>
      <xdr:rowOff>0</xdr:rowOff>
    </xdr:to>
    <xdr:sp macro="" textlink="">
      <xdr:nvSpPr>
        <xdr:cNvPr id="9" name="64 Corchetes"/>
        <xdr:cNvSpPr>
          <a:spLocks noChangeArrowheads="1"/>
        </xdr:cNvSpPr>
      </xdr:nvSpPr>
      <xdr:spPr bwMode="auto">
        <a:xfrm>
          <a:off x="20402549" y="13700125"/>
          <a:ext cx="2435226" cy="1368425"/>
        </a:xfrm>
        <a:prstGeom prst="bracketPair">
          <a:avLst>
            <a:gd name="adj" fmla="val 16667"/>
          </a:avLst>
        </a:prstGeom>
        <a:noFill/>
        <a:ln w="9525" algn="ctr">
          <a:solidFill>
            <a:srgbClr val="000000"/>
          </a:solidFill>
          <a:round/>
          <a:headEnd/>
          <a:tailEnd/>
        </a:ln>
      </xdr:spPr>
    </xdr:sp>
    <xdr:clientData/>
  </xdr:twoCellAnchor>
  <xdr:twoCellAnchor editAs="oneCell">
    <xdr:from>
      <xdr:col>21</xdr:col>
      <xdr:colOff>288925</xdr:colOff>
      <xdr:row>56</xdr:row>
      <xdr:rowOff>266700</xdr:rowOff>
    </xdr:from>
    <xdr:to>
      <xdr:col>21</xdr:col>
      <xdr:colOff>450850</xdr:colOff>
      <xdr:row>57</xdr:row>
      <xdr:rowOff>104775</xdr:rowOff>
    </xdr:to>
    <xdr:pic>
      <xdr:nvPicPr>
        <xdr:cNvPr id="10" name="Picture 95"/>
        <xdr:cNvPicPr>
          <a:picLocks noChangeAspect="1" noChangeArrowheads="1"/>
        </xdr:cNvPicPr>
      </xdr:nvPicPr>
      <xdr:blipFill>
        <a:blip xmlns:r="http://schemas.openxmlformats.org/officeDocument/2006/relationships" r:embed="rId3" cstate="print"/>
        <a:srcRect/>
        <a:stretch>
          <a:fillRect/>
        </a:stretch>
      </xdr:blipFill>
      <xdr:spPr bwMode="auto">
        <a:xfrm>
          <a:off x="20805775" y="14230350"/>
          <a:ext cx="161925" cy="200025"/>
        </a:xfrm>
        <a:prstGeom prst="rect">
          <a:avLst/>
        </a:prstGeom>
        <a:noFill/>
        <a:ln w="9525">
          <a:noFill/>
          <a:miter lim="800000"/>
          <a:headEnd/>
          <a:tailEnd/>
        </a:ln>
      </xdr:spPr>
    </xdr:pic>
    <xdr:clientData/>
  </xdr:twoCellAnchor>
  <xdr:twoCellAnchor editAs="oneCell">
    <xdr:from>
      <xdr:col>23</xdr:col>
      <xdr:colOff>53975</xdr:colOff>
      <xdr:row>56</xdr:row>
      <xdr:rowOff>295275</xdr:rowOff>
    </xdr:from>
    <xdr:to>
      <xdr:col>23</xdr:col>
      <xdr:colOff>247650</xdr:colOff>
      <xdr:row>57</xdr:row>
      <xdr:rowOff>161925</xdr:rowOff>
    </xdr:to>
    <xdr:pic>
      <xdr:nvPicPr>
        <xdr:cNvPr id="11" name="Picture 66"/>
        <xdr:cNvPicPr>
          <a:picLocks noChangeAspect="1" noChangeArrowheads="1"/>
        </xdr:cNvPicPr>
      </xdr:nvPicPr>
      <xdr:blipFill>
        <a:blip xmlns:r="http://schemas.openxmlformats.org/officeDocument/2006/relationships" r:embed="rId4" cstate="print"/>
        <a:srcRect/>
        <a:stretch>
          <a:fillRect/>
        </a:stretch>
      </xdr:blipFill>
      <xdr:spPr bwMode="auto">
        <a:xfrm>
          <a:off x="21866225" y="14258925"/>
          <a:ext cx="193675" cy="228600"/>
        </a:xfrm>
        <a:prstGeom prst="rect">
          <a:avLst/>
        </a:prstGeom>
        <a:noFill/>
        <a:ln w="9525">
          <a:noFill/>
          <a:miter lim="800000"/>
          <a:headEnd/>
          <a:tailEnd/>
        </a:ln>
      </xdr:spPr>
    </xdr:pic>
    <xdr:clientData/>
  </xdr:twoCellAnchor>
  <xdr:twoCellAnchor editAs="oneCell">
    <xdr:from>
      <xdr:col>24</xdr:col>
      <xdr:colOff>365125</xdr:colOff>
      <xdr:row>56</xdr:row>
      <xdr:rowOff>292100</xdr:rowOff>
    </xdr:from>
    <xdr:to>
      <xdr:col>25</xdr:col>
      <xdr:colOff>247650</xdr:colOff>
      <xdr:row>57</xdr:row>
      <xdr:rowOff>120650</xdr:rowOff>
    </xdr:to>
    <xdr:pic>
      <xdr:nvPicPr>
        <xdr:cNvPr id="12" name="Picture 97"/>
        <xdr:cNvPicPr>
          <a:picLocks noChangeAspect="1" noChangeArrowheads="1"/>
        </xdr:cNvPicPr>
      </xdr:nvPicPr>
      <xdr:blipFill>
        <a:blip xmlns:r="http://schemas.openxmlformats.org/officeDocument/2006/relationships" r:embed="rId5" cstate="print"/>
        <a:srcRect/>
        <a:stretch>
          <a:fillRect/>
        </a:stretch>
      </xdr:blipFill>
      <xdr:spPr bwMode="auto">
        <a:xfrm>
          <a:off x="22987000" y="14255750"/>
          <a:ext cx="311150" cy="190500"/>
        </a:xfrm>
        <a:prstGeom prst="rect">
          <a:avLst/>
        </a:prstGeom>
        <a:noFill/>
        <a:ln w="9525">
          <a:noFill/>
          <a:miter lim="800000"/>
          <a:headEnd/>
          <a:tailEnd/>
        </a:ln>
      </xdr:spPr>
    </xdr:pic>
    <xdr:clientData/>
  </xdr:twoCellAnchor>
  <xdr:twoCellAnchor editAs="oneCell">
    <xdr:from>
      <xdr:col>18</xdr:col>
      <xdr:colOff>431800</xdr:colOff>
      <xdr:row>27</xdr:row>
      <xdr:rowOff>152400</xdr:rowOff>
    </xdr:from>
    <xdr:to>
      <xdr:col>19</xdr:col>
      <xdr:colOff>609600</xdr:colOff>
      <xdr:row>30</xdr:row>
      <xdr:rowOff>28575</xdr:rowOff>
    </xdr:to>
    <xdr:pic>
      <xdr:nvPicPr>
        <xdr:cNvPr id="14" name="Picture 24"/>
        <xdr:cNvPicPr>
          <a:picLocks noChangeAspect="1" noChangeArrowheads="1"/>
        </xdr:cNvPicPr>
      </xdr:nvPicPr>
      <xdr:blipFill>
        <a:blip xmlns:r="http://schemas.openxmlformats.org/officeDocument/2006/relationships" r:embed="rId6" cstate="print"/>
        <a:srcRect/>
        <a:stretch>
          <a:fillRect/>
        </a:stretch>
      </xdr:blipFill>
      <xdr:spPr bwMode="auto">
        <a:xfrm>
          <a:off x="18567400" y="7400925"/>
          <a:ext cx="939800" cy="447675"/>
        </a:xfrm>
        <a:prstGeom prst="rect">
          <a:avLst/>
        </a:prstGeom>
        <a:noFill/>
      </xdr:spPr>
    </xdr:pic>
    <xdr:clientData/>
  </xdr:twoCellAnchor>
  <xdr:twoCellAnchor>
    <xdr:from>
      <xdr:col>19</xdr:col>
      <xdr:colOff>393700</xdr:colOff>
      <xdr:row>28</xdr:row>
      <xdr:rowOff>101600</xdr:rowOff>
    </xdr:from>
    <xdr:to>
      <xdr:col>21</xdr:col>
      <xdr:colOff>546100</xdr:colOff>
      <xdr:row>30</xdr:row>
      <xdr:rowOff>50800</xdr:rowOff>
    </xdr:to>
    <xdr:sp macro="" textlink="">
      <xdr:nvSpPr>
        <xdr:cNvPr id="15" name="14 CuadroTexto"/>
        <xdr:cNvSpPr txBox="1"/>
      </xdr:nvSpPr>
      <xdr:spPr>
        <a:xfrm>
          <a:off x="19291300" y="7540625"/>
          <a:ext cx="173355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ES" sz="1600" b="1">
              <a:latin typeface="Garamond" pitchFamily="18" charset="0"/>
            </a:rPr>
            <a:t>=</a:t>
          </a:r>
          <a:r>
            <a:rPr lang="es-ES" sz="1600" b="1" baseline="0">
              <a:latin typeface="Garamond" pitchFamily="18" charset="0"/>
            </a:rPr>
            <a:t> Flujos de Pago</a:t>
          </a:r>
          <a:endParaRPr lang="es-ES" sz="1600" b="1">
            <a:latin typeface="Garamond" pitchFamily="18" charset="0"/>
          </a:endParaRPr>
        </a:p>
      </xdr:txBody>
    </xdr:sp>
    <xdr:clientData/>
  </xdr:twoCellAnchor>
  <xdr:twoCellAnchor editAs="oneCell">
    <xdr:from>
      <xdr:col>18</xdr:col>
      <xdr:colOff>698500</xdr:colOff>
      <xdr:row>30</xdr:row>
      <xdr:rowOff>165100</xdr:rowOff>
    </xdr:from>
    <xdr:to>
      <xdr:col>19</xdr:col>
      <xdr:colOff>381000</xdr:colOff>
      <xdr:row>32</xdr:row>
      <xdr:rowOff>129868</xdr:rowOff>
    </xdr:to>
    <xdr:pic>
      <xdr:nvPicPr>
        <xdr:cNvPr id="16" name="Picture 26"/>
        <xdr:cNvPicPr>
          <a:picLocks noChangeAspect="1" noChangeArrowheads="1"/>
        </xdr:cNvPicPr>
      </xdr:nvPicPr>
      <xdr:blipFill>
        <a:blip xmlns:r="http://schemas.openxmlformats.org/officeDocument/2006/relationships" r:embed="rId7" cstate="print"/>
        <a:srcRect/>
        <a:stretch>
          <a:fillRect/>
        </a:stretch>
      </xdr:blipFill>
      <xdr:spPr bwMode="auto">
        <a:xfrm>
          <a:off x="18834100" y="7985125"/>
          <a:ext cx="444500" cy="355293"/>
        </a:xfrm>
        <a:prstGeom prst="rect">
          <a:avLst/>
        </a:prstGeom>
        <a:noFill/>
      </xdr:spPr>
    </xdr:pic>
    <xdr:clientData/>
  </xdr:twoCellAnchor>
  <xdr:twoCellAnchor>
    <xdr:from>
      <xdr:col>19</xdr:col>
      <xdr:colOff>406400</xdr:colOff>
      <xdr:row>31</xdr:row>
      <xdr:rowOff>0</xdr:rowOff>
    </xdr:from>
    <xdr:to>
      <xdr:col>22</xdr:col>
      <xdr:colOff>0</xdr:colOff>
      <xdr:row>34</xdr:row>
      <xdr:rowOff>0</xdr:rowOff>
    </xdr:to>
    <xdr:sp macro="" textlink="">
      <xdr:nvSpPr>
        <xdr:cNvPr id="17" name="16 CuadroTexto"/>
        <xdr:cNvSpPr txBox="1"/>
      </xdr:nvSpPr>
      <xdr:spPr>
        <a:xfrm>
          <a:off x="19304000" y="8020050"/>
          <a:ext cx="1717675" cy="590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s-ES" sz="1600" b="1">
              <a:latin typeface="Garamond" pitchFamily="18" charset="0"/>
            </a:rPr>
            <a:t>=</a:t>
          </a:r>
          <a:r>
            <a:rPr lang="es-ES" sz="1600" b="1" baseline="0">
              <a:latin typeface="Garamond" pitchFamily="18" charset="0"/>
            </a:rPr>
            <a:t> Período de            Pago</a:t>
          </a:r>
          <a:endParaRPr lang="es-ES" sz="1600" b="1">
            <a:latin typeface="Garamond" pitchFamily="18" charset="0"/>
          </a:endParaRPr>
        </a:p>
      </xdr:txBody>
    </xdr:sp>
    <xdr:clientData/>
  </xdr:twoCellAnchor>
  <xdr:twoCellAnchor editAs="oneCell">
    <xdr:from>
      <xdr:col>18</xdr:col>
      <xdr:colOff>736600</xdr:colOff>
      <xdr:row>50</xdr:row>
      <xdr:rowOff>12700</xdr:rowOff>
    </xdr:from>
    <xdr:to>
      <xdr:col>19</xdr:col>
      <xdr:colOff>493486</xdr:colOff>
      <xdr:row>51</xdr:row>
      <xdr:rowOff>190500</xdr:rowOff>
    </xdr:to>
    <xdr:pic>
      <xdr:nvPicPr>
        <xdr:cNvPr id="18" name="Picture 29"/>
        <xdr:cNvPicPr>
          <a:picLocks noChangeAspect="1" noChangeArrowheads="1"/>
        </xdr:cNvPicPr>
      </xdr:nvPicPr>
      <xdr:blipFill>
        <a:blip xmlns:r="http://schemas.openxmlformats.org/officeDocument/2006/relationships" r:embed="rId8" cstate="print"/>
        <a:srcRect/>
        <a:stretch>
          <a:fillRect/>
        </a:stretch>
      </xdr:blipFill>
      <xdr:spPr bwMode="auto">
        <a:xfrm>
          <a:off x="18872200" y="12557125"/>
          <a:ext cx="518886" cy="415925"/>
        </a:xfrm>
        <a:prstGeom prst="rect">
          <a:avLst/>
        </a:prstGeom>
        <a:noFill/>
      </xdr:spPr>
    </xdr:pic>
    <xdr:clientData/>
  </xdr:twoCellAnchor>
  <xdr:twoCellAnchor>
    <xdr:from>
      <xdr:col>19</xdr:col>
      <xdr:colOff>368300</xdr:colOff>
      <xdr:row>50</xdr:row>
      <xdr:rowOff>88900</xdr:rowOff>
    </xdr:from>
    <xdr:to>
      <xdr:col>22</xdr:col>
      <xdr:colOff>469900</xdr:colOff>
      <xdr:row>51</xdr:row>
      <xdr:rowOff>177800</xdr:rowOff>
    </xdr:to>
    <xdr:sp macro="" textlink="">
      <xdr:nvSpPr>
        <xdr:cNvPr id="19" name="18 CuadroTexto"/>
        <xdr:cNvSpPr txBox="1"/>
      </xdr:nvSpPr>
      <xdr:spPr>
        <a:xfrm>
          <a:off x="19265900" y="12633325"/>
          <a:ext cx="2225675" cy="327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ES" sz="1600" b="1">
              <a:latin typeface="Garamond" pitchFamily="18" charset="0"/>
            </a:rPr>
            <a:t>=</a:t>
          </a:r>
          <a:r>
            <a:rPr lang="es-ES" sz="1600" b="1" baseline="0">
              <a:latin typeface="Garamond" pitchFamily="18" charset="0"/>
            </a:rPr>
            <a:t> Frecuencia de pago</a:t>
          </a:r>
          <a:endParaRPr lang="es-ES" sz="1600" b="1">
            <a:latin typeface="Garamond" pitchFamily="18" charset="0"/>
          </a:endParaRPr>
        </a:p>
      </xdr:txBody>
    </xdr:sp>
    <xdr:clientData/>
  </xdr:twoCellAnchor>
  <xdr:twoCellAnchor>
    <xdr:from>
      <xdr:col>4</xdr:col>
      <xdr:colOff>152400</xdr:colOff>
      <xdr:row>41</xdr:row>
      <xdr:rowOff>215900</xdr:rowOff>
    </xdr:from>
    <xdr:to>
      <xdr:col>6</xdr:col>
      <xdr:colOff>371475</xdr:colOff>
      <xdr:row>50</xdr:row>
      <xdr:rowOff>155575</xdr:rowOff>
    </xdr:to>
    <xdr:sp macro="" textlink="">
      <xdr:nvSpPr>
        <xdr:cNvPr id="20" name="AutoShape 30"/>
        <xdr:cNvSpPr>
          <a:spLocks noChangeArrowheads="1"/>
        </xdr:cNvSpPr>
      </xdr:nvSpPr>
      <xdr:spPr bwMode="auto">
        <a:xfrm>
          <a:off x="4394200" y="10528300"/>
          <a:ext cx="2403475" cy="2263775"/>
        </a:xfrm>
        <a:prstGeom prst="irregularSeal2">
          <a:avLst/>
        </a:prstGeom>
        <a:solidFill>
          <a:schemeClr val="accent1">
            <a:lumMod val="60000"/>
            <a:lumOff val="40000"/>
          </a:schemeClr>
        </a:solidFill>
        <a:ln w="9525">
          <a:solidFill>
            <a:srgbClr val="0000FF"/>
          </a:solidFill>
          <a:miter lim="800000"/>
          <a:headEnd/>
          <a:tailEnd/>
        </a:ln>
        <a:effectLst>
          <a:glow rad="101600">
            <a:schemeClr val="accent1">
              <a:satMod val="175000"/>
              <a:alpha val="40000"/>
            </a:schemeClr>
          </a:glow>
        </a:effectLst>
      </xdr:spPr>
      <xdr:txBody>
        <a:bodyPr vertOverflow="clip" wrap="square" lIns="27432" tIns="18288" rIns="0" bIns="0" anchor="t" upright="1"/>
        <a:lstStyle/>
        <a:p>
          <a:pPr algn="l" rtl="0">
            <a:defRPr sz="1000"/>
          </a:pPr>
          <a:endParaRPr lang="es-ES" sz="1000" b="1" i="0" u="none" strike="noStrike" baseline="0">
            <a:solidFill>
              <a:sysClr val="windowText" lastClr="000000"/>
            </a:solidFill>
            <a:latin typeface="Arial"/>
            <a:cs typeface="Arial"/>
          </a:endParaRPr>
        </a:p>
        <a:p>
          <a:pPr algn="l" rtl="0">
            <a:defRPr sz="1000"/>
          </a:pPr>
          <a:r>
            <a:rPr lang="es-ES" sz="1000" b="1" i="0" u="none" strike="noStrike" baseline="0">
              <a:solidFill>
                <a:sysClr val="windowText" lastClr="000000"/>
              </a:solidFill>
              <a:latin typeface="Arial"/>
              <a:cs typeface="Arial"/>
            </a:rPr>
            <a:t>En este caso la TIR es diferente de la tasa nominal pactada </a:t>
          </a:r>
        </a:p>
      </xdr:txBody>
    </xdr:sp>
    <xdr:clientData/>
  </xdr:twoCellAnchor>
  <xdr:twoCellAnchor>
    <xdr:from>
      <xdr:col>7</xdr:col>
      <xdr:colOff>76200</xdr:colOff>
      <xdr:row>13</xdr:row>
      <xdr:rowOff>330200</xdr:rowOff>
    </xdr:from>
    <xdr:to>
      <xdr:col>8</xdr:col>
      <xdr:colOff>279400</xdr:colOff>
      <xdr:row>16</xdr:row>
      <xdr:rowOff>114300</xdr:rowOff>
    </xdr:to>
    <xdr:cxnSp macro="">
      <xdr:nvCxnSpPr>
        <xdr:cNvPr id="22" name="21 Conector recto de flecha"/>
        <xdr:cNvCxnSpPr/>
      </xdr:nvCxnSpPr>
      <xdr:spPr bwMode="auto">
        <a:xfrm rot="10800000">
          <a:off x="7442200" y="4648200"/>
          <a:ext cx="1485900" cy="647700"/>
        </a:xfrm>
        <a:prstGeom prst="straightConnector1">
          <a:avLst/>
        </a:prstGeom>
        <a:ln>
          <a:headEnd type="none" w="med" len="med"/>
          <a:tailEnd type="arrow"/>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419100</xdr:colOff>
      <xdr:row>13</xdr:row>
      <xdr:rowOff>76200</xdr:rowOff>
    </xdr:from>
    <xdr:to>
      <xdr:col>7</xdr:col>
      <xdr:colOff>25400</xdr:colOff>
      <xdr:row>14</xdr:row>
      <xdr:rowOff>200025</xdr:rowOff>
    </xdr:to>
    <xdr:sp macro="" textlink="">
      <xdr:nvSpPr>
        <xdr:cNvPr id="24" name="Text Box 28"/>
        <xdr:cNvSpPr txBox="1">
          <a:spLocks noChangeArrowheads="1"/>
        </xdr:cNvSpPr>
      </xdr:nvSpPr>
      <xdr:spPr bwMode="auto">
        <a:xfrm>
          <a:off x="5905500" y="4394200"/>
          <a:ext cx="1485900" cy="504825"/>
        </a:xfrm>
        <a:prstGeom prst="rect">
          <a:avLst/>
        </a:prstGeom>
        <a:ln>
          <a:headEnd/>
          <a:tailEnd/>
        </a:ln>
      </xdr:spPr>
      <xdr:style>
        <a:lnRef idx="1">
          <a:schemeClr val="accent1"/>
        </a:lnRef>
        <a:fillRef idx="2">
          <a:schemeClr val="accent1"/>
        </a:fillRef>
        <a:effectRef idx="1">
          <a:schemeClr val="accent1"/>
        </a:effectRef>
        <a:fontRef idx="minor">
          <a:schemeClr val="dk1"/>
        </a:fontRef>
      </xdr:style>
      <xdr:txBody>
        <a:bodyPr vertOverflow="clip" wrap="square" lIns="27432" tIns="18288" rIns="0" bIns="0" anchor="ctr" upright="1"/>
        <a:lstStyle/>
        <a:p>
          <a:pPr algn="ctr" rtl="0">
            <a:defRPr sz="1000"/>
          </a:pPr>
          <a:r>
            <a:rPr lang="es-ES" sz="1050" b="1" i="0" u="none" strike="noStrike" baseline="0">
              <a:solidFill>
                <a:sysClr val="windowText" lastClr="000000"/>
              </a:solidFill>
              <a:latin typeface="Garamond" pitchFamily="18" charset="0"/>
              <a:cs typeface="Arial"/>
            </a:rPr>
            <a:t>Es el 20% del Saldo en el período 0</a:t>
          </a:r>
        </a:p>
      </xdr:txBody>
    </xdr:sp>
    <xdr:clientData/>
  </xdr:twoCellAnchor>
  <xdr:twoCellAnchor>
    <xdr:from>
      <xdr:col>6</xdr:col>
      <xdr:colOff>393700</xdr:colOff>
      <xdr:row>17</xdr:row>
      <xdr:rowOff>114300</xdr:rowOff>
    </xdr:from>
    <xdr:to>
      <xdr:col>8</xdr:col>
      <xdr:colOff>304800</xdr:colOff>
      <xdr:row>20</xdr:row>
      <xdr:rowOff>177800</xdr:rowOff>
    </xdr:to>
    <xdr:cxnSp macro="">
      <xdr:nvCxnSpPr>
        <xdr:cNvPr id="25" name="24 Conector recto de flecha"/>
        <xdr:cNvCxnSpPr/>
      </xdr:nvCxnSpPr>
      <xdr:spPr bwMode="auto">
        <a:xfrm rot="10800000" flipV="1">
          <a:off x="6819900" y="5499100"/>
          <a:ext cx="2133600" cy="635000"/>
        </a:xfrm>
        <a:prstGeom prst="straightConnector1">
          <a:avLst/>
        </a:prstGeom>
        <a:ln>
          <a:headEnd type="none" w="med" len="med"/>
          <a:tailEnd type="arrow"/>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4</xdr:col>
      <xdr:colOff>990600</xdr:colOff>
      <xdr:row>20</xdr:row>
      <xdr:rowOff>165100</xdr:rowOff>
    </xdr:from>
    <xdr:to>
      <xdr:col>6</xdr:col>
      <xdr:colOff>396875</xdr:colOff>
      <xdr:row>23</xdr:row>
      <xdr:rowOff>63500</xdr:rowOff>
    </xdr:to>
    <xdr:sp macro="" textlink="">
      <xdr:nvSpPr>
        <xdr:cNvPr id="29" name="Text Box 31"/>
        <xdr:cNvSpPr txBox="1">
          <a:spLocks noChangeArrowheads="1"/>
        </xdr:cNvSpPr>
      </xdr:nvSpPr>
      <xdr:spPr bwMode="auto">
        <a:xfrm>
          <a:off x="5232400" y="6121400"/>
          <a:ext cx="1590675" cy="469900"/>
        </a:xfrm>
        <a:prstGeom prst="rect">
          <a:avLst/>
        </a:prstGeom>
        <a:ln>
          <a:headEnd/>
          <a:tailEnd/>
        </a:ln>
      </xdr:spPr>
      <xdr:style>
        <a:lnRef idx="1">
          <a:schemeClr val="accent1"/>
        </a:lnRef>
        <a:fillRef idx="2">
          <a:schemeClr val="accent1"/>
        </a:fillRef>
        <a:effectRef idx="1">
          <a:schemeClr val="accent1"/>
        </a:effectRef>
        <a:fontRef idx="minor">
          <a:schemeClr val="dk1"/>
        </a:fontRef>
      </xdr:style>
      <xdr:txBody>
        <a:bodyPr vertOverflow="clip" wrap="square" lIns="27432" tIns="18288" rIns="0" bIns="0" anchor="ctr" upright="1"/>
        <a:lstStyle/>
        <a:p>
          <a:pPr marL="0" indent="0" algn="ctr" rtl="0">
            <a:defRPr sz="1000"/>
          </a:pPr>
          <a:r>
            <a:rPr lang="es-ES" sz="1050" b="1" i="0" u="none" strike="noStrike" baseline="0">
              <a:solidFill>
                <a:sysClr val="windowText" lastClr="000000"/>
              </a:solidFill>
              <a:latin typeface="Garamond" pitchFamily="18" charset="0"/>
              <a:ea typeface="+mn-ea"/>
              <a:cs typeface="Arial"/>
            </a:rPr>
            <a:t>Es el 20% del Saldo en el período 1 </a:t>
          </a:r>
        </a:p>
      </xdr:txBody>
    </xdr:sp>
    <xdr:clientData/>
  </xdr:twoCellAnchor>
  <xdr:twoCellAnchor>
    <xdr:from>
      <xdr:col>9</xdr:col>
      <xdr:colOff>1193800</xdr:colOff>
      <xdr:row>21</xdr:row>
      <xdr:rowOff>0</xdr:rowOff>
    </xdr:from>
    <xdr:to>
      <xdr:col>12</xdr:col>
      <xdr:colOff>6350</xdr:colOff>
      <xdr:row>27</xdr:row>
      <xdr:rowOff>57150</xdr:rowOff>
    </xdr:to>
    <xdr:sp macro="" textlink="">
      <xdr:nvSpPr>
        <xdr:cNvPr id="30" name="Text Box 34"/>
        <xdr:cNvSpPr txBox="1">
          <a:spLocks noChangeArrowheads="1"/>
        </xdr:cNvSpPr>
      </xdr:nvSpPr>
      <xdr:spPr bwMode="auto">
        <a:xfrm>
          <a:off x="11125200" y="6146800"/>
          <a:ext cx="2190750" cy="1200150"/>
        </a:xfrm>
        <a:prstGeom prst="rect">
          <a:avLst/>
        </a:prstGeom>
        <a:solidFill>
          <a:srgbClr val="FFFFFF"/>
        </a:solidFill>
        <a:ln w="12700">
          <a:solidFill>
            <a:srgbClr val="339966"/>
          </a:solidFill>
          <a:miter lim="800000"/>
          <a:headEnd/>
          <a:tailEnd/>
        </a:ln>
        <a:effectLst/>
      </xdr:spPr>
      <xdr:txBody>
        <a:bodyPr vertOverflow="clip" wrap="square" lIns="27432" tIns="22860" rIns="0" bIns="0" anchor="ctr" upright="1"/>
        <a:lstStyle/>
        <a:p>
          <a:pPr algn="ctr" rtl="0">
            <a:defRPr sz="1000"/>
          </a:pPr>
          <a:r>
            <a:rPr lang="es-ES" sz="1100" b="1" i="0" u="none" strike="noStrike" baseline="0">
              <a:solidFill>
                <a:srgbClr val="008000"/>
              </a:solidFill>
              <a:latin typeface="Garamond" pitchFamily="18" charset="0"/>
              <a:cs typeface="Arial"/>
            </a:rPr>
            <a:t>Es lo que se puede retirar en el periodo 1, y corresponde a la diferencia del valor del encaje entre el período 1 y 0, más los intereses que generó el encaje del periodo 0 por 1 mes</a:t>
          </a:r>
        </a:p>
      </xdr:txBody>
    </xdr:sp>
    <xdr:clientData/>
  </xdr:twoCellAnchor>
  <xdr:twoCellAnchor>
    <xdr:from>
      <xdr:col>9</xdr:col>
      <xdr:colOff>977900</xdr:colOff>
      <xdr:row>17</xdr:row>
      <xdr:rowOff>139700</xdr:rowOff>
    </xdr:from>
    <xdr:to>
      <xdr:col>9</xdr:col>
      <xdr:colOff>1435100</xdr:colOff>
      <xdr:row>20</xdr:row>
      <xdr:rowOff>139700</xdr:rowOff>
    </xdr:to>
    <xdr:cxnSp macro="">
      <xdr:nvCxnSpPr>
        <xdr:cNvPr id="32" name="31 Conector recto de flecha"/>
        <xdr:cNvCxnSpPr/>
      </xdr:nvCxnSpPr>
      <xdr:spPr bwMode="auto">
        <a:xfrm rot="16200000" flipH="1">
          <a:off x="10852150" y="5581650"/>
          <a:ext cx="571500" cy="457200"/>
        </a:xfrm>
        <a:prstGeom prst="straightConnector1">
          <a:avLst/>
        </a:prstGeom>
        <a:ln>
          <a:headEnd type="none" w="med" len="med"/>
          <a:tailEnd type="arrow"/>
        </a:ln>
      </xdr:spPr>
      <xdr:style>
        <a:lnRef idx="2">
          <a:schemeClr val="accent3"/>
        </a:lnRef>
        <a:fillRef idx="0">
          <a:schemeClr val="accent3"/>
        </a:fillRef>
        <a:effectRef idx="1">
          <a:schemeClr val="accent3"/>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21</xdr:col>
          <xdr:colOff>219075</xdr:colOff>
          <xdr:row>17</xdr:row>
          <xdr:rowOff>161925</xdr:rowOff>
        </xdr:from>
        <xdr:to>
          <xdr:col>25</xdr:col>
          <xdr:colOff>676275</xdr:colOff>
          <xdr:row>24</xdr:row>
          <xdr:rowOff>28575</xdr:rowOff>
        </xdr:to>
        <xdr:sp macro="" textlink="">
          <xdr:nvSpPr>
            <xdr:cNvPr id="8193" name="Object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FFFF99" mc:Ignorable="a14" a14:legacySpreadsheetColorIndex="4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0</xdr:col>
      <xdr:colOff>0</xdr:colOff>
      <xdr:row>0</xdr:row>
      <xdr:rowOff>0</xdr:rowOff>
    </xdr:from>
    <xdr:to>
      <xdr:col>2</xdr:col>
      <xdr:colOff>1165225</xdr:colOff>
      <xdr:row>0</xdr:row>
      <xdr:rowOff>768350</xdr:rowOff>
    </xdr:to>
    <xdr:pic>
      <xdr:nvPicPr>
        <xdr:cNvPr id="28" name="2 Imagen" descr="LOGOEXCEL.png"/>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0" y="0"/>
          <a:ext cx="1800225" cy="768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21</xdr:col>
      <xdr:colOff>412750</xdr:colOff>
      <xdr:row>61</xdr:row>
      <xdr:rowOff>114299</xdr:rowOff>
    </xdr:from>
    <xdr:to>
      <xdr:col>22</xdr:col>
      <xdr:colOff>330200</xdr:colOff>
      <xdr:row>63</xdr:row>
      <xdr:rowOff>79374</xdr:rowOff>
    </xdr:to>
    <xdr:sp macro="" textlink="">
      <xdr:nvSpPr>
        <xdr:cNvPr id="2" name="AutoShape 25"/>
        <xdr:cNvSpPr>
          <a:spLocks noChangeArrowheads="1"/>
        </xdr:cNvSpPr>
      </xdr:nvSpPr>
      <xdr:spPr bwMode="auto">
        <a:xfrm>
          <a:off x="20929600" y="15373349"/>
          <a:ext cx="422275" cy="517525"/>
        </a:xfrm>
        <a:prstGeom prst="downArrow">
          <a:avLst>
            <a:gd name="adj1" fmla="val 50000"/>
            <a:gd name="adj2" fmla="val 35416"/>
          </a:avLst>
        </a:prstGeom>
        <a:solidFill>
          <a:srgbClr val="0000FF"/>
        </a:solidFill>
        <a:ln w="9525">
          <a:solidFill>
            <a:srgbClr val="0000FF"/>
          </a:solidFill>
          <a:miter lim="800000"/>
          <a:headEnd/>
          <a:tailEnd/>
        </a:ln>
      </xdr:spPr>
    </xdr:sp>
    <xdr:clientData/>
  </xdr:twoCellAnchor>
  <xdr:twoCellAnchor>
    <xdr:from>
      <xdr:col>4</xdr:col>
      <xdr:colOff>676275</xdr:colOff>
      <xdr:row>31</xdr:row>
      <xdr:rowOff>127000</xdr:rowOff>
    </xdr:from>
    <xdr:to>
      <xdr:col>7</xdr:col>
      <xdr:colOff>390525</xdr:colOff>
      <xdr:row>35</xdr:row>
      <xdr:rowOff>238125</xdr:rowOff>
    </xdr:to>
    <xdr:sp macro="" textlink="">
      <xdr:nvSpPr>
        <xdr:cNvPr id="3" name="AutoShape 27"/>
        <xdr:cNvSpPr>
          <a:spLocks noChangeArrowheads="1"/>
        </xdr:cNvSpPr>
      </xdr:nvSpPr>
      <xdr:spPr bwMode="auto">
        <a:xfrm>
          <a:off x="4905375" y="8147050"/>
          <a:ext cx="2838450" cy="854075"/>
        </a:xfrm>
        <a:custGeom>
          <a:avLst/>
          <a:gdLst>
            <a:gd name="T0" fmla="*/ 2147483647 w 21600"/>
            <a:gd name="T1" fmla="*/ 0 h 21600"/>
            <a:gd name="T2" fmla="*/ 0 w 21600"/>
            <a:gd name="T3" fmla="*/ 2147483647 h 21600"/>
            <a:gd name="T4" fmla="*/ 2147483647 w 21600"/>
            <a:gd name="T5" fmla="*/ 2147483647 h 21600"/>
            <a:gd name="T6" fmla="*/ 2147483647 w 21600"/>
            <a:gd name="T7" fmla="*/ 2147483647 h 21600"/>
            <a:gd name="T8" fmla="*/ 17694720 60000 65536"/>
            <a:gd name="T9" fmla="*/ 11796480 60000 65536"/>
            <a:gd name="T10" fmla="*/ 5898240 60000 65536"/>
            <a:gd name="T11" fmla="*/ 0 60000 65536"/>
            <a:gd name="T12" fmla="*/ 3375 w 21600"/>
            <a:gd name="T13" fmla="*/ 5400 h 21600"/>
            <a:gd name="T14" fmla="*/ 18900 w 21600"/>
            <a:gd name="T15" fmla="*/ 16200 h 21600"/>
          </a:gdLst>
          <a:ahLst/>
          <a:cxnLst>
            <a:cxn ang="T8">
              <a:pos x="T0" y="T1"/>
            </a:cxn>
            <a:cxn ang="T9">
              <a:pos x="T2" y="T3"/>
            </a:cxn>
            <a:cxn ang="T10">
              <a:pos x="T4" y="T5"/>
            </a:cxn>
            <a:cxn ang="T11">
              <a:pos x="T6" y="T7"/>
            </a:cxn>
          </a:cxnLst>
          <a:rect l="T12" t="T13" r="T14" b="T15"/>
          <a:pathLst>
            <a:path w="21600" h="21600">
              <a:moveTo>
                <a:pt x="16200" y="0"/>
              </a:moveTo>
              <a:lnTo>
                <a:pt x="16200" y="5400"/>
              </a:lnTo>
              <a:lnTo>
                <a:pt x="3375" y="5400"/>
              </a:lnTo>
              <a:lnTo>
                <a:pt x="3375" y="16200"/>
              </a:lnTo>
              <a:lnTo>
                <a:pt x="16200" y="16200"/>
              </a:lnTo>
              <a:lnTo>
                <a:pt x="16200" y="21600"/>
              </a:lnTo>
              <a:lnTo>
                <a:pt x="21600" y="10800"/>
              </a:lnTo>
              <a:close/>
            </a:path>
            <a:path w="21600" h="21600">
              <a:moveTo>
                <a:pt x="1350" y="5400"/>
              </a:moveTo>
              <a:lnTo>
                <a:pt x="1350" y="16200"/>
              </a:lnTo>
              <a:lnTo>
                <a:pt x="2700" y="16200"/>
              </a:lnTo>
              <a:lnTo>
                <a:pt x="2700" y="5400"/>
              </a:lnTo>
              <a:close/>
            </a:path>
            <a:path w="21600" h="21600">
              <a:moveTo>
                <a:pt x="0" y="5400"/>
              </a:moveTo>
              <a:lnTo>
                <a:pt x="0" y="16200"/>
              </a:lnTo>
              <a:lnTo>
                <a:pt x="675" y="16200"/>
              </a:lnTo>
              <a:lnTo>
                <a:pt x="675" y="5400"/>
              </a:lnTo>
              <a:close/>
            </a:path>
          </a:pathLst>
        </a:custGeom>
        <a:solidFill>
          <a:srgbClr val="0000FF"/>
        </a:solidFill>
        <a:ln w="9525">
          <a:solidFill>
            <a:srgbClr val="0000FF"/>
          </a:solidFill>
          <a:miter lim="800000"/>
          <a:headEnd/>
          <a:tailEnd/>
        </a:ln>
      </xdr:spPr>
    </xdr:sp>
    <xdr:clientData/>
  </xdr:twoCellAnchor>
  <xdr:twoCellAnchor>
    <xdr:from>
      <xdr:col>3</xdr:col>
      <xdr:colOff>1130299</xdr:colOff>
      <xdr:row>40</xdr:row>
      <xdr:rowOff>88900</xdr:rowOff>
    </xdr:from>
    <xdr:to>
      <xdr:col>3</xdr:col>
      <xdr:colOff>1381124</xdr:colOff>
      <xdr:row>41</xdr:row>
      <xdr:rowOff>352425</xdr:rowOff>
    </xdr:to>
    <xdr:sp macro="" textlink="">
      <xdr:nvSpPr>
        <xdr:cNvPr id="4" name="49 Flecha curvada hacia arriba"/>
        <xdr:cNvSpPr>
          <a:spLocks noChangeArrowheads="1"/>
        </xdr:cNvSpPr>
      </xdr:nvSpPr>
      <xdr:spPr bwMode="auto">
        <a:xfrm rot="16200000" flipH="1">
          <a:off x="3595687" y="10225087"/>
          <a:ext cx="501650" cy="250825"/>
        </a:xfrm>
        <a:prstGeom prst="curvedUpArrow">
          <a:avLst>
            <a:gd name="adj1" fmla="val 25000"/>
            <a:gd name="adj2" fmla="val 50000"/>
            <a:gd name="adj3" fmla="val 25000"/>
          </a:avLst>
        </a:prstGeom>
        <a:solidFill>
          <a:srgbClr val="0000FF"/>
        </a:solidFill>
        <a:ln w="9525" algn="ctr">
          <a:solidFill>
            <a:srgbClr val="0000FF"/>
          </a:solidFill>
          <a:round/>
          <a:headEnd/>
          <a:tailEnd/>
        </a:ln>
      </xdr:spPr>
    </xdr:sp>
    <xdr:clientData/>
  </xdr:twoCellAnchor>
  <xdr:twoCellAnchor editAs="oneCell">
    <xdr:from>
      <xdr:col>21</xdr:col>
      <xdr:colOff>88900</xdr:colOff>
      <xdr:row>42</xdr:row>
      <xdr:rowOff>101600</xdr:rowOff>
    </xdr:from>
    <xdr:to>
      <xdr:col>26</xdr:col>
      <xdr:colOff>304800</xdr:colOff>
      <xdr:row>46</xdr:row>
      <xdr:rowOff>131399</xdr:rowOff>
    </xdr:to>
    <xdr:pic>
      <xdr:nvPicPr>
        <xdr:cNvPr id="5" name="Picture 68"/>
        <xdr:cNvPicPr>
          <a:picLocks noChangeAspect="1" noChangeArrowheads="1"/>
        </xdr:cNvPicPr>
      </xdr:nvPicPr>
      <xdr:blipFill>
        <a:blip xmlns:r="http://schemas.openxmlformats.org/officeDocument/2006/relationships" r:embed="rId1" cstate="print"/>
        <a:srcRect/>
        <a:stretch>
          <a:fillRect/>
        </a:stretch>
      </xdr:blipFill>
      <xdr:spPr bwMode="auto">
        <a:xfrm>
          <a:off x="20605750" y="10741025"/>
          <a:ext cx="3511550" cy="982299"/>
        </a:xfrm>
        <a:prstGeom prst="rect">
          <a:avLst/>
        </a:prstGeom>
        <a:noFill/>
        <a:ln w="9525">
          <a:noFill/>
          <a:miter lim="800000"/>
          <a:headEnd/>
          <a:tailEnd/>
        </a:ln>
      </xdr:spPr>
    </xdr:pic>
    <xdr:clientData/>
  </xdr:twoCellAnchor>
  <xdr:twoCellAnchor editAs="oneCell">
    <xdr:from>
      <xdr:col>19</xdr:col>
      <xdr:colOff>444500</xdr:colOff>
      <xdr:row>56</xdr:row>
      <xdr:rowOff>12700</xdr:rowOff>
    </xdr:from>
    <xdr:to>
      <xdr:col>20</xdr:col>
      <xdr:colOff>688975</xdr:colOff>
      <xdr:row>57</xdr:row>
      <xdr:rowOff>250825</xdr:rowOff>
    </xdr:to>
    <xdr:pic>
      <xdr:nvPicPr>
        <xdr:cNvPr id="6" name="Picture 70"/>
        <xdr:cNvPicPr>
          <a:picLocks noChangeAspect="1" noChangeArrowheads="1"/>
        </xdr:cNvPicPr>
      </xdr:nvPicPr>
      <xdr:blipFill>
        <a:blip xmlns:r="http://schemas.openxmlformats.org/officeDocument/2006/relationships" r:embed="rId2" cstate="print"/>
        <a:srcRect/>
        <a:stretch>
          <a:fillRect/>
        </a:stretch>
      </xdr:blipFill>
      <xdr:spPr bwMode="auto">
        <a:xfrm>
          <a:off x="19342100" y="13976350"/>
          <a:ext cx="1054100" cy="600075"/>
        </a:xfrm>
        <a:prstGeom prst="rect">
          <a:avLst/>
        </a:prstGeom>
        <a:noFill/>
        <a:ln w="9525">
          <a:noFill/>
          <a:miter lim="800000"/>
          <a:headEnd/>
          <a:tailEnd/>
        </a:ln>
      </xdr:spPr>
    </xdr:pic>
    <xdr:clientData/>
  </xdr:twoCellAnchor>
  <xdr:twoCellAnchor>
    <xdr:from>
      <xdr:col>23</xdr:col>
      <xdr:colOff>333375</xdr:colOff>
      <xdr:row>57</xdr:row>
      <xdr:rowOff>25400</xdr:rowOff>
    </xdr:from>
    <xdr:to>
      <xdr:col>24</xdr:col>
      <xdr:colOff>165100</xdr:colOff>
      <xdr:row>57</xdr:row>
      <xdr:rowOff>25400</xdr:rowOff>
    </xdr:to>
    <xdr:cxnSp macro="">
      <xdr:nvCxnSpPr>
        <xdr:cNvPr id="7" name="60 Conector recto"/>
        <xdr:cNvCxnSpPr>
          <a:cxnSpLocks noChangeShapeType="1"/>
        </xdr:cNvCxnSpPr>
      </xdr:nvCxnSpPr>
      <xdr:spPr bwMode="auto">
        <a:xfrm>
          <a:off x="22145625" y="14351000"/>
          <a:ext cx="641350" cy="0"/>
        </a:xfrm>
        <a:prstGeom prst="line">
          <a:avLst/>
        </a:prstGeom>
        <a:noFill/>
        <a:ln w="9525" algn="ctr">
          <a:solidFill>
            <a:srgbClr val="000000"/>
          </a:solidFill>
          <a:round/>
          <a:headEnd/>
          <a:tailEnd/>
        </a:ln>
      </xdr:spPr>
    </xdr:cxnSp>
    <xdr:clientData/>
  </xdr:twoCellAnchor>
  <xdr:twoCellAnchor>
    <xdr:from>
      <xdr:col>23</xdr:col>
      <xdr:colOff>777875</xdr:colOff>
      <xdr:row>54</xdr:row>
      <xdr:rowOff>9525</xdr:rowOff>
    </xdr:from>
    <xdr:to>
      <xdr:col>25</xdr:col>
      <xdr:colOff>123825</xdr:colOff>
      <xdr:row>54</xdr:row>
      <xdr:rowOff>9525</xdr:rowOff>
    </xdr:to>
    <xdr:cxnSp macro="">
      <xdr:nvCxnSpPr>
        <xdr:cNvPr id="8" name="61 Conector recto"/>
        <xdr:cNvCxnSpPr>
          <a:cxnSpLocks noChangeShapeType="1"/>
        </xdr:cNvCxnSpPr>
      </xdr:nvCxnSpPr>
      <xdr:spPr bwMode="auto">
        <a:xfrm flipV="1">
          <a:off x="22590125" y="13582650"/>
          <a:ext cx="584200" cy="0"/>
        </a:xfrm>
        <a:prstGeom prst="line">
          <a:avLst/>
        </a:prstGeom>
        <a:noFill/>
        <a:ln w="9525" algn="ctr">
          <a:solidFill>
            <a:srgbClr val="000000"/>
          </a:solidFill>
          <a:round/>
          <a:headEnd/>
          <a:tailEnd/>
        </a:ln>
      </xdr:spPr>
    </xdr:cxnSp>
    <xdr:clientData/>
  </xdr:twoCellAnchor>
  <xdr:twoCellAnchor>
    <xdr:from>
      <xdr:col>20</xdr:col>
      <xdr:colOff>695324</xdr:colOff>
      <xdr:row>54</xdr:row>
      <xdr:rowOff>127000</xdr:rowOff>
    </xdr:from>
    <xdr:to>
      <xdr:col>24</xdr:col>
      <xdr:colOff>215900</xdr:colOff>
      <xdr:row>60</xdr:row>
      <xdr:rowOff>0</xdr:rowOff>
    </xdr:to>
    <xdr:sp macro="" textlink="">
      <xdr:nvSpPr>
        <xdr:cNvPr id="9" name="64 Corchetes"/>
        <xdr:cNvSpPr>
          <a:spLocks noChangeArrowheads="1"/>
        </xdr:cNvSpPr>
      </xdr:nvSpPr>
      <xdr:spPr bwMode="auto">
        <a:xfrm>
          <a:off x="20402549" y="13700125"/>
          <a:ext cx="2435226" cy="1368425"/>
        </a:xfrm>
        <a:prstGeom prst="bracketPair">
          <a:avLst>
            <a:gd name="adj" fmla="val 16667"/>
          </a:avLst>
        </a:prstGeom>
        <a:noFill/>
        <a:ln w="9525" algn="ctr">
          <a:solidFill>
            <a:srgbClr val="000000"/>
          </a:solidFill>
          <a:round/>
          <a:headEnd/>
          <a:tailEnd/>
        </a:ln>
      </xdr:spPr>
    </xdr:sp>
    <xdr:clientData/>
  </xdr:twoCellAnchor>
  <xdr:twoCellAnchor editAs="oneCell">
    <xdr:from>
      <xdr:col>21</xdr:col>
      <xdr:colOff>288925</xdr:colOff>
      <xdr:row>56</xdr:row>
      <xdr:rowOff>266700</xdr:rowOff>
    </xdr:from>
    <xdr:to>
      <xdr:col>21</xdr:col>
      <xdr:colOff>450850</xdr:colOff>
      <xdr:row>57</xdr:row>
      <xdr:rowOff>104775</xdr:rowOff>
    </xdr:to>
    <xdr:pic>
      <xdr:nvPicPr>
        <xdr:cNvPr id="10" name="Picture 95"/>
        <xdr:cNvPicPr>
          <a:picLocks noChangeAspect="1" noChangeArrowheads="1"/>
        </xdr:cNvPicPr>
      </xdr:nvPicPr>
      <xdr:blipFill>
        <a:blip xmlns:r="http://schemas.openxmlformats.org/officeDocument/2006/relationships" r:embed="rId3" cstate="print"/>
        <a:srcRect/>
        <a:stretch>
          <a:fillRect/>
        </a:stretch>
      </xdr:blipFill>
      <xdr:spPr bwMode="auto">
        <a:xfrm>
          <a:off x="20805775" y="14230350"/>
          <a:ext cx="161925" cy="200025"/>
        </a:xfrm>
        <a:prstGeom prst="rect">
          <a:avLst/>
        </a:prstGeom>
        <a:noFill/>
        <a:ln w="9525">
          <a:noFill/>
          <a:miter lim="800000"/>
          <a:headEnd/>
          <a:tailEnd/>
        </a:ln>
      </xdr:spPr>
    </xdr:pic>
    <xdr:clientData/>
  </xdr:twoCellAnchor>
  <xdr:twoCellAnchor editAs="oneCell">
    <xdr:from>
      <xdr:col>23</xdr:col>
      <xdr:colOff>53975</xdr:colOff>
      <xdr:row>56</xdr:row>
      <xdr:rowOff>295275</xdr:rowOff>
    </xdr:from>
    <xdr:to>
      <xdr:col>23</xdr:col>
      <xdr:colOff>247650</xdr:colOff>
      <xdr:row>57</xdr:row>
      <xdr:rowOff>161925</xdr:rowOff>
    </xdr:to>
    <xdr:pic>
      <xdr:nvPicPr>
        <xdr:cNvPr id="11" name="Picture 66"/>
        <xdr:cNvPicPr>
          <a:picLocks noChangeAspect="1" noChangeArrowheads="1"/>
        </xdr:cNvPicPr>
      </xdr:nvPicPr>
      <xdr:blipFill>
        <a:blip xmlns:r="http://schemas.openxmlformats.org/officeDocument/2006/relationships" r:embed="rId4" cstate="print"/>
        <a:srcRect/>
        <a:stretch>
          <a:fillRect/>
        </a:stretch>
      </xdr:blipFill>
      <xdr:spPr bwMode="auto">
        <a:xfrm>
          <a:off x="21866225" y="14258925"/>
          <a:ext cx="193675" cy="228600"/>
        </a:xfrm>
        <a:prstGeom prst="rect">
          <a:avLst/>
        </a:prstGeom>
        <a:noFill/>
        <a:ln w="9525">
          <a:noFill/>
          <a:miter lim="800000"/>
          <a:headEnd/>
          <a:tailEnd/>
        </a:ln>
      </xdr:spPr>
    </xdr:pic>
    <xdr:clientData/>
  </xdr:twoCellAnchor>
  <xdr:twoCellAnchor editAs="oneCell">
    <xdr:from>
      <xdr:col>24</xdr:col>
      <xdr:colOff>365125</xdr:colOff>
      <xdr:row>56</xdr:row>
      <xdr:rowOff>292100</xdr:rowOff>
    </xdr:from>
    <xdr:to>
      <xdr:col>25</xdr:col>
      <xdr:colOff>247650</xdr:colOff>
      <xdr:row>57</xdr:row>
      <xdr:rowOff>120650</xdr:rowOff>
    </xdr:to>
    <xdr:pic>
      <xdr:nvPicPr>
        <xdr:cNvPr id="12" name="Picture 97"/>
        <xdr:cNvPicPr>
          <a:picLocks noChangeAspect="1" noChangeArrowheads="1"/>
        </xdr:cNvPicPr>
      </xdr:nvPicPr>
      <xdr:blipFill>
        <a:blip xmlns:r="http://schemas.openxmlformats.org/officeDocument/2006/relationships" r:embed="rId5" cstate="print"/>
        <a:srcRect/>
        <a:stretch>
          <a:fillRect/>
        </a:stretch>
      </xdr:blipFill>
      <xdr:spPr bwMode="auto">
        <a:xfrm>
          <a:off x="22987000" y="14255750"/>
          <a:ext cx="311150" cy="190500"/>
        </a:xfrm>
        <a:prstGeom prst="rect">
          <a:avLst/>
        </a:prstGeom>
        <a:noFill/>
        <a:ln w="9525">
          <a:noFill/>
          <a:miter lim="800000"/>
          <a:headEnd/>
          <a:tailEnd/>
        </a:ln>
      </xdr:spPr>
    </xdr:pic>
    <xdr:clientData/>
  </xdr:twoCellAnchor>
  <xdr:twoCellAnchor editAs="oneCell">
    <xdr:from>
      <xdr:col>18</xdr:col>
      <xdr:colOff>431800</xdr:colOff>
      <xdr:row>27</xdr:row>
      <xdr:rowOff>152400</xdr:rowOff>
    </xdr:from>
    <xdr:to>
      <xdr:col>19</xdr:col>
      <xdr:colOff>609600</xdr:colOff>
      <xdr:row>30</xdr:row>
      <xdr:rowOff>28575</xdr:rowOff>
    </xdr:to>
    <xdr:pic>
      <xdr:nvPicPr>
        <xdr:cNvPr id="14" name="Picture 24"/>
        <xdr:cNvPicPr>
          <a:picLocks noChangeAspect="1" noChangeArrowheads="1"/>
        </xdr:cNvPicPr>
      </xdr:nvPicPr>
      <xdr:blipFill>
        <a:blip xmlns:r="http://schemas.openxmlformats.org/officeDocument/2006/relationships" r:embed="rId6" cstate="print"/>
        <a:srcRect/>
        <a:stretch>
          <a:fillRect/>
        </a:stretch>
      </xdr:blipFill>
      <xdr:spPr bwMode="auto">
        <a:xfrm>
          <a:off x="18567400" y="7400925"/>
          <a:ext cx="939800" cy="447675"/>
        </a:xfrm>
        <a:prstGeom prst="rect">
          <a:avLst/>
        </a:prstGeom>
        <a:noFill/>
      </xdr:spPr>
    </xdr:pic>
    <xdr:clientData/>
  </xdr:twoCellAnchor>
  <xdr:twoCellAnchor>
    <xdr:from>
      <xdr:col>19</xdr:col>
      <xdr:colOff>393700</xdr:colOff>
      <xdr:row>28</xdr:row>
      <xdr:rowOff>101600</xdr:rowOff>
    </xdr:from>
    <xdr:to>
      <xdr:col>21</xdr:col>
      <xdr:colOff>546100</xdr:colOff>
      <xdr:row>30</xdr:row>
      <xdr:rowOff>50800</xdr:rowOff>
    </xdr:to>
    <xdr:sp macro="" textlink="">
      <xdr:nvSpPr>
        <xdr:cNvPr id="15" name="14 CuadroTexto"/>
        <xdr:cNvSpPr txBox="1"/>
      </xdr:nvSpPr>
      <xdr:spPr>
        <a:xfrm>
          <a:off x="19291300" y="7540625"/>
          <a:ext cx="173355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ES" sz="1600" b="1">
              <a:latin typeface="Garamond" pitchFamily="18" charset="0"/>
            </a:rPr>
            <a:t>=</a:t>
          </a:r>
          <a:r>
            <a:rPr lang="es-ES" sz="1600" b="1" baseline="0">
              <a:latin typeface="Garamond" pitchFamily="18" charset="0"/>
            </a:rPr>
            <a:t> Flujos de Pago</a:t>
          </a:r>
          <a:endParaRPr lang="es-ES" sz="1600" b="1">
            <a:latin typeface="Garamond" pitchFamily="18" charset="0"/>
          </a:endParaRPr>
        </a:p>
      </xdr:txBody>
    </xdr:sp>
    <xdr:clientData/>
  </xdr:twoCellAnchor>
  <xdr:twoCellAnchor editAs="oneCell">
    <xdr:from>
      <xdr:col>18</xdr:col>
      <xdr:colOff>698500</xdr:colOff>
      <xdr:row>30</xdr:row>
      <xdr:rowOff>165100</xdr:rowOff>
    </xdr:from>
    <xdr:to>
      <xdr:col>19</xdr:col>
      <xdr:colOff>381000</xdr:colOff>
      <xdr:row>32</xdr:row>
      <xdr:rowOff>129868</xdr:rowOff>
    </xdr:to>
    <xdr:pic>
      <xdr:nvPicPr>
        <xdr:cNvPr id="16" name="Picture 26"/>
        <xdr:cNvPicPr>
          <a:picLocks noChangeAspect="1" noChangeArrowheads="1"/>
        </xdr:cNvPicPr>
      </xdr:nvPicPr>
      <xdr:blipFill>
        <a:blip xmlns:r="http://schemas.openxmlformats.org/officeDocument/2006/relationships" r:embed="rId7" cstate="print"/>
        <a:srcRect/>
        <a:stretch>
          <a:fillRect/>
        </a:stretch>
      </xdr:blipFill>
      <xdr:spPr bwMode="auto">
        <a:xfrm>
          <a:off x="18834100" y="7985125"/>
          <a:ext cx="444500" cy="355293"/>
        </a:xfrm>
        <a:prstGeom prst="rect">
          <a:avLst/>
        </a:prstGeom>
        <a:noFill/>
      </xdr:spPr>
    </xdr:pic>
    <xdr:clientData/>
  </xdr:twoCellAnchor>
  <xdr:twoCellAnchor>
    <xdr:from>
      <xdr:col>19</xdr:col>
      <xdr:colOff>406400</xdr:colOff>
      <xdr:row>31</xdr:row>
      <xdr:rowOff>0</xdr:rowOff>
    </xdr:from>
    <xdr:to>
      <xdr:col>22</xdr:col>
      <xdr:colOff>0</xdr:colOff>
      <xdr:row>34</xdr:row>
      <xdr:rowOff>0</xdr:rowOff>
    </xdr:to>
    <xdr:sp macro="" textlink="">
      <xdr:nvSpPr>
        <xdr:cNvPr id="17" name="16 CuadroTexto"/>
        <xdr:cNvSpPr txBox="1"/>
      </xdr:nvSpPr>
      <xdr:spPr>
        <a:xfrm>
          <a:off x="19304000" y="8020050"/>
          <a:ext cx="1717675" cy="590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s-ES" sz="1600" b="1">
              <a:latin typeface="Garamond" pitchFamily="18" charset="0"/>
            </a:rPr>
            <a:t>=</a:t>
          </a:r>
          <a:r>
            <a:rPr lang="es-ES" sz="1600" b="1" baseline="0">
              <a:latin typeface="Garamond" pitchFamily="18" charset="0"/>
            </a:rPr>
            <a:t> Período de            Pago</a:t>
          </a:r>
          <a:endParaRPr lang="es-ES" sz="1600" b="1">
            <a:latin typeface="Garamond" pitchFamily="18" charset="0"/>
          </a:endParaRPr>
        </a:p>
      </xdr:txBody>
    </xdr:sp>
    <xdr:clientData/>
  </xdr:twoCellAnchor>
  <xdr:twoCellAnchor editAs="oneCell">
    <xdr:from>
      <xdr:col>18</xdr:col>
      <xdr:colOff>736600</xdr:colOff>
      <xdr:row>50</xdr:row>
      <xdr:rowOff>12700</xdr:rowOff>
    </xdr:from>
    <xdr:to>
      <xdr:col>19</xdr:col>
      <xdr:colOff>493486</xdr:colOff>
      <xdr:row>51</xdr:row>
      <xdr:rowOff>190500</xdr:rowOff>
    </xdr:to>
    <xdr:pic>
      <xdr:nvPicPr>
        <xdr:cNvPr id="18" name="Picture 29"/>
        <xdr:cNvPicPr>
          <a:picLocks noChangeAspect="1" noChangeArrowheads="1"/>
        </xdr:cNvPicPr>
      </xdr:nvPicPr>
      <xdr:blipFill>
        <a:blip xmlns:r="http://schemas.openxmlformats.org/officeDocument/2006/relationships" r:embed="rId8" cstate="print"/>
        <a:srcRect/>
        <a:stretch>
          <a:fillRect/>
        </a:stretch>
      </xdr:blipFill>
      <xdr:spPr bwMode="auto">
        <a:xfrm>
          <a:off x="18872200" y="12557125"/>
          <a:ext cx="518886" cy="415925"/>
        </a:xfrm>
        <a:prstGeom prst="rect">
          <a:avLst/>
        </a:prstGeom>
        <a:noFill/>
      </xdr:spPr>
    </xdr:pic>
    <xdr:clientData/>
  </xdr:twoCellAnchor>
  <xdr:twoCellAnchor>
    <xdr:from>
      <xdr:col>19</xdr:col>
      <xdr:colOff>368300</xdr:colOff>
      <xdr:row>50</xdr:row>
      <xdr:rowOff>88900</xdr:rowOff>
    </xdr:from>
    <xdr:to>
      <xdr:col>22</xdr:col>
      <xdr:colOff>469900</xdr:colOff>
      <xdr:row>51</xdr:row>
      <xdr:rowOff>177800</xdr:rowOff>
    </xdr:to>
    <xdr:sp macro="" textlink="">
      <xdr:nvSpPr>
        <xdr:cNvPr id="19" name="18 CuadroTexto"/>
        <xdr:cNvSpPr txBox="1"/>
      </xdr:nvSpPr>
      <xdr:spPr>
        <a:xfrm>
          <a:off x="19265900" y="12633325"/>
          <a:ext cx="2225675" cy="327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ES" sz="1600" b="1">
              <a:latin typeface="Garamond" pitchFamily="18" charset="0"/>
            </a:rPr>
            <a:t>=</a:t>
          </a:r>
          <a:r>
            <a:rPr lang="es-ES" sz="1600" b="1" baseline="0">
              <a:latin typeface="Garamond" pitchFamily="18" charset="0"/>
            </a:rPr>
            <a:t> Frecuencia de pago</a:t>
          </a:r>
          <a:endParaRPr lang="es-ES" sz="1600" b="1">
            <a:latin typeface="Garamond" pitchFamily="18" charset="0"/>
          </a:endParaRPr>
        </a:p>
      </xdr:txBody>
    </xdr:sp>
    <xdr:clientData/>
  </xdr:twoCellAnchor>
  <xdr:twoCellAnchor>
    <xdr:from>
      <xdr:col>7</xdr:col>
      <xdr:colOff>990600</xdr:colOff>
      <xdr:row>23</xdr:row>
      <xdr:rowOff>114300</xdr:rowOff>
    </xdr:from>
    <xdr:to>
      <xdr:col>9</xdr:col>
      <xdr:colOff>828675</xdr:colOff>
      <xdr:row>35</xdr:row>
      <xdr:rowOff>41275</xdr:rowOff>
    </xdr:to>
    <xdr:sp macro="" textlink="">
      <xdr:nvSpPr>
        <xdr:cNvPr id="20" name="AutoShape 30"/>
        <xdr:cNvSpPr>
          <a:spLocks noChangeArrowheads="1"/>
        </xdr:cNvSpPr>
      </xdr:nvSpPr>
      <xdr:spPr bwMode="auto">
        <a:xfrm>
          <a:off x="8356600" y="6642100"/>
          <a:ext cx="2403475" cy="2263775"/>
        </a:xfrm>
        <a:prstGeom prst="irregularSeal2">
          <a:avLst/>
        </a:prstGeom>
        <a:solidFill>
          <a:schemeClr val="accent1">
            <a:lumMod val="60000"/>
            <a:lumOff val="40000"/>
          </a:schemeClr>
        </a:solidFill>
        <a:ln w="9525">
          <a:solidFill>
            <a:srgbClr val="0000FF"/>
          </a:solidFill>
          <a:miter lim="800000"/>
          <a:headEnd/>
          <a:tailEnd/>
        </a:ln>
        <a:effectLst>
          <a:glow rad="101600">
            <a:schemeClr val="accent1">
              <a:satMod val="175000"/>
              <a:alpha val="40000"/>
            </a:schemeClr>
          </a:glow>
        </a:effectLst>
      </xdr:spPr>
      <xdr:txBody>
        <a:bodyPr vertOverflow="clip" wrap="square" lIns="27432" tIns="18288" rIns="0" bIns="0" anchor="t" upright="1"/>
        <a:lstStyle/>
        <a:p>
          <a:pPr algn="l" rtl="0">
            <a:defRPr sz="1000"/>
          </a:pPr>
          <a:endParaRPr lang="es-ES" sz="1000" b="1" i="0" u="none" strike="noStrike" baseline="0">
            <a:solidFill>
              <a:sysClr val="windowText" lastClr="000000"/>
            </a:solidFill>
            <a:latin typeface="Arial"/>
            <a:cs typeface="Arial"/>
          </a:endParaRPr>
        </a:p>
        <a:p>
          <a:pPr algn="l" rtl="0">
            <a:defRPr sz="1000"/>
          </a:pPr>
          <a:r>
            <a:rPr lang="es-ES" sz="1000" b="1" i="0" u="none" strike="noStrike" baseline="0">
              <a:solidFill>
                <a:sysClr val="windowText" lastClr="000000"/>
              </a:solidFill>
              <a:latin typeface="Arial"/>
              <a:cs typeface="Arial"/>
            </a:rPr>
            <a:t>En este caso la TIR es IGUAL a la tasa nominal pactada </a:t>
          </a:r>
        </a:p>
      </xdr:txBody>
    </xdr:sp>
    <xdr:clientData/>
  </xdr:twoCellAnchor>
  <mc:AlternateContent xmlns:mc="http://schemas.openxmlformats.org/markup-compatibility/2006">
    <mc:Choice xmlns:a14="http://schemas.microsoft.com/office/drawing/2010/main" Requires="a14">
      <xdr:twoCellAnchor editAs="oneCell">
        <xdr:from>
          <xdr:col>21</xdr:col>
          <xdr:colOff>219075</xdr:colOff>
          <xdr:row>17</xdr:row>
          <xdr:rowOff>161925</xdr:rowOff>
        </xdr:from>
        <xdr:to>
          <xdr:col>25</xdr:col>
          <xdr:colOff>676275</xdr:colOff>
          <xdr:row>24</xdr:row>
          <xdr:rowOff>28575</xdr:rowOff>
        </xdr:to>
        <xdr:sp macro="" textlink="">
          <xdr:nvSpPr>
            <xdr:cNvPr id="10241" name="Object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solidFill>
                    <a:srgbClr val="FFFF99" mc:Ignorable="a14" a14:legacySpreadsheetColorIndex="4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0</xdr:col>
      <xdr:colOff>0</xdr:colOff>
      <xdr:row>0</xdr:row>
      <xdr:rowOff>0</xdr:rowOff>
    </xdr:from>
    <xdr:to>
      <xdr:col>2</xdr:col>
      <xdr:colOff>1165225</xdr:colOff>
      <xdr:row>0</xdr:row>
      <xdr:rowOff>768350</xdr:rowOff>
    </xdr:to>
    <xdr:pic>
      <xdr:nvPicPr>
        <xdr:cNvPr id="22" name="2 Imagen" descr="LOGOEXCEL.png"/>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0" y="0"/>
          <a:ext cx="1800225" cy="768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20</xdr:col>
      <xdr:colOff>412750</xdr:colOff>
      <xdr:row>59</xdr:row>
      <xdr:rowOff>114299</xdr:rowOff>
    </xdr:from>
    <xdr:to>
      <xdr:col>21</xdr:col>
      <xdr:colOff>330200</xdr:colOff>
      <xdr:row>61</xdr:row>
      <xdr:rowOff>79374</xdr:rowOff>
    </xdr:to>
    <xdr:sp macro="" textlink="">
      <xdr:nvSpPr>
        <xdr:cNvPr id="2" name="AutoShape 25"/>
        <xdr:cNvSpPr>
          <a:spLocks noChangeArrowheads="1"/>
        </xdr:cNvSpPr>
      </xdr:nvSpPr>
      <xdr:spPr bwMode="auto">
        <a:xfrm>
          <a:off x="18129250" y="14611349"/>
          <a:ext cx="422275" cy="517525"/>
        </a:xfrm>
        <a:prstGeom prst="downArrow">
          <a:avLst>
            <a:gd name="adj1" fmla="val 50000"/>
            <a:gd name="adj2" fmla="val 35416"/>
          </a:avLst>
        </a:prstGeom>
        <a:solidFill>
          <a:srgbClr val="0000FF"/>
        </a:solidFill>
        <a:ln w="9525">
          <a:solidFill>
            <a:srgbClr val="0000FF"/>
          </a:solidFill>
          <a:miter lim="800000"/>
          <a:headEnd/>
          <a:tailEnd/>
        </a:ln>
      </xdr:spPr>
    </xdr:sp>
    <xdr:clientData/>
  </xdr:twoCellAnchor>
  <xdr:twoCellAnchor>
    <xdr:from>
      <xdr:col>4</xdr:col>
      <xdr:colOff>676275</xdr:colOff>
      <xdr:row>30</xdr:row>
      <xdr:rowOff>127000</xdr:rowOff>
    </xdr:from>
    <xdr:to>
      <xdr:col>7</xdr:col>
      <xdr:colOff>390525</xdr:colOff>
      <xdr:row>34</xdr:row>
      <xdr:rowOff>238125</xdr:rowOff>
    </xdr:to>
    <xdr:sp macro="" textlink="">
      <xdr:nvSpPr>
        <xdr:cNvPr id="3" name="AutoShape 27"/>
        <xdr:cNvSpPr>
          <a:spLocks noChangeArrowheads="1"/>
        </xdr:cNvSpPr>
      </xdr:nvSpPr>
      <xdr:spPr bwMode="auto">
        <a:xfrm>
          <a:off x="4905375" y="7518400"/>
          <a:ext cx="2838450" cy="854075"/>
        </a:xfrm>
        <a:custGeom>
          <a:avLst/>
          <a:gdLst>
            <a:gd name="T0" fmla="*/ 2147483647 w 21600"/>
            <a:gd name="T1" fmla="*/ 0 h 21600"/>
            <a:gd name="T2" fmla="*/ 0 w 21600"/>
            <a:gd name="T3" fmla="*/ 2147483647 h 21600"/>
            <a:gd name="T4" fmla="*/ 2147483647 w 21600"/>
            <a:gd name="T5" fmla="*/ 2147483647 h 21600"/>
            <a:gd name="T6" fmla="*/ 2147483647 w 21600"/>
            <a:gd name="T7" fmla="*/ 2147483647 h 21600"/>
            <a:gd name="T8" fmla="*/ 17694720 60000 65536"/>
            <a:gd name="T9" fmla="*/ 11796480 60000 65536"/>
            <a:gd name="T10" fmla="*/ 5898240 60000 65536"/>
            <a:gd name="T11" fmla="*/ 0 60000 65536"/>
            <a:gd name="T12" fmla="*/ 3375 w 21600"/>
            <a:gd name="T13" fmla="*/ 5400 h 21600"/>
            <a:gd name="T14" fmla="*/ 18900 w 21600"/>
            <a:gd name="T15" fmla="*/ 16200 h 21600"/>
          </a:gdLst>
          <a:ahLst/>
          <a:cxnLst>
            <a:cxn ang="T8">
              <a:pos x="T0" y="T1"/>
            </a:cxn>
            <a:cxn ang="T9">
              <a:pos x="T2" y="T3"/>
            </a:cxn>
            <a:cxn ang="T10">
              <a:pos x="T4" y="T5"/>
            </a:cxn>
            <a:cxn ang="T11">
              <a:pos x="T6" y="T7"/>
            </a:cxn>
          </a:cxnLst>
          <a:rect l="T12" t="T13" r="T14" b="T15"/>
          <a:pathLst>
            <a:path w="21600" h="21600">
              <a:moveTo>
                <a:pt x="16200" y="0"/>
              </a:moveTo>
              <a:lnTo>
                <a:pt x="16200" y="5400"/>
              </a:lnTo>
              <a:lnTo>
                <a:pt x="3375" y="5400"/>
              </a:lnTo>
              <a:lnTo>
                <a:pt x="3375" y="16200"/>
              </a:lnTo>
              <a:lnTo>
                <a:pt x="16200" y="16200"/>
              </a:lnTo>
              <a:lnTo>
                <a:pt x="16200" y="21600"/>
              </a:lnTo>
              <a:lnTo>
                <a:pt x="21600" y="10800"/>
              </a:lnTo>
              <a:close/>
            </a:path>
            <a:path w="21600" h="21600">
              <a:moveTo>
                <a:pt x="1350" y="5400"/>
              </a:moveTo>
              <a:lnTo>
                <a:pt x="1350" y="16200"/>
              </a:lnTo>
              <a:lnTo>
                <a:pt x="2700" y="16200"/>
              </a:lnTo>
              <a:lnTo>
                <a:pt x="2700" y="5400"/>
              </a:lnTo>
              <a:close/>
            </a:path>
            <a:path w="21600" h="21600">
              <a:moveTo>
                <a:pt x="0" y="5400"/>
              </a:moveTo>
              <a:lnTo>
                <a:pt x="0" y="16200"/>
              </a:lnTo>
              <a:lnTo>
                <a:pt x="675" y="16200"/>
              </a:lnTo>
              <a:lnTo>
                <a:pt x="675" y="5400"/>
              </a:lnTo>
              <a:close/>
            </a:path>
          </a:pathLst>
        </a:custGeom>
        <a:solidFill>
          <a:srgbClr val="0000FF"/>
        </a:solidFill>
        <a:ln w="9525">
          <a:solidFill>
            <a:srgbClr val="0000FF"/>
          </a:solidFill>
          <a:miter lim="800000"/>
          <a:headEnd/>
          <a:tailEnd/>
        </a:ln>
      </xdr:spPr>
    </xdr:sp>
    <xdr:clientData/>
  </xdr:twoCellAnchor>
  <xdr:twoCellAnchor>
    <xdr:from>
      <xdr:col>3</xdr:col>
      <xdr:colOff>1130299</xdr:colOff>
      <xdr:row>37</xdr:row>
      <xdr:rowOff>88900</xdr:rowOff>
    </xdr:from>
    <xdr:to>
      <xdr:col>3</xdr:col>
      <xdr:colOff>1381124</xdr:colOff>
      <xdr:row>38</xdr:row>
      <xdr:rowOff>352425</xdr:rowOff>
    </xdr:to>
    <xdr:sp macro="" textlink="">
      <xdr:nvSpPr>
        <xdr:cNvPr id="4" name="49 Flecha curvada hacia arriba"/>
        <xdr:cNvSpPr>
          <a:spLocks noChangeArrowheads="1"/>
        </xdr:cNvSpPr>
      </xdr:nvSpPr>
      <xdr:spPr bwMode="auto">
        <a:xfrm rot="16200000" flipH="1">
          <a:off x="3590924" y="8982075"/>
          <a:ext cx="511175" cy="250825"/>
        </a:xfrm>
        <a:prstGeom prst="curvedUpArrow">
          <a:avLst>
            <a:gd name="adj1" fmla="val 25000"/>
            <a:gd name="adj2" fmla="val 50000"/>
            <a:gd name="adj3" fmla="val 25000"/>
          </a:avLst>
        </a:prstGeom>
        <a:solidFill>
          <a:srgbClr val="0000FF"/>
        </a:solidFill>
        <a:ln w="9525" algn="ctr">
          <a:solidFill>
            <a:srgbClr val="0000FF"/>
          </a:solidFill>
          <a:round/>
          <a:headEnd/>
          <a:tailEnd/>
        </a:ln>
      </xdr:spPr>
    </xdr:sp>
    <xdr:clientData/>
  </xdr:twoCellAnchor>
  <xdr:twoCellAnchor editAs="oneCell">
    <xdr:from>
      <xdr:col>20</xdr:col>
      <xdr:colOff>88900</xdr:colOff>
      <xdr:row>40</xdr:row>
      <xdr:rowOff>101600</xdr:rowOff>
    </xdr:from>
    <xdr:to>
      <xdr:col>25</xdr:col>
      <xdr:colOff>304800</xdr:colOff>
      <xdr:row>44</xdr:row>
      <xdr:rowOff>131399</xdr:rowOff>
    </xdr:to>
    <xdr:pic>
      <xdr:nvPicPr>
        <xdr:cNvPr id="5" name="Picture 68"/>
        <xdr:cNvPicPr>
          <a:picLocks noChangeAspect="1" noChangeArrowheads="1"/>
        </xdr:cNvPicPr>
      </xdr:nvPicPr>
      <xdr:blipFill>
        <a:blip xmlns:r="http://schemas.openxmlformats.org/officeDocument/2006/relationships" r:embed="rId1" cstate="print"/>
        <a:srcRect/>
        <a:stretch>
          <a:fillRect/>
        </a:stretch>
      </xdr:blipFill>
      <xdr:spPr bwMode="auto">
        <a:xfrm>
          <a:off x="17805400" y="9979025"/>
          <a:ext cx="3511550" cy="982299"/>
        </a:xfrm>
        <a:prstGeom prst="rect">
          <a:avLst/>
        </a:prstGeom>
        <a:noFill/>
        <a:ln w="9525">
          <a:noFill/>
          <a:miter lim="800000"/>
          <a:headEnd/>
          <a:tailEnd/>
        </a:ln>
      </xdr:spPr>
    </xdr:pic>
    <xdr:clientData/>
  </xdr:twoCellAnchor>
  <xdr:twoCellAnchor editAs="oneCell">
    <xdr:from>
      <xdr:col>18</xdr:col>
      <xdr:colOff>444500</xdr:colOff>
      <xdr:row>54</xdr:row>
      <xdr:rowOff>12700</xdr:rowOff>
    </xdr:from>
    <xdr:to>
      <xdr:col>19</xdr:col>
      <xdr:colOff>688975</xdr:colOff>
      <xdr:row>55</xdr:row>
      <xdr:rowOff>250825</xdr:rowOff>
    </xdr:to>
    <xdr:pic>
      <xdr:nvPicPr>
        <xdr:cNvPr id="6" name="Picture 70"/>
        <xdr:cNvPicPr>
          <a:picLocks noChangeAspect="1" noChangeArrowheads="1"/>
        </xdr:cNvPicPr>
      </xdr:nvPicPr>
      <xdr:blipFill>
        <a:blip xmlns:r="http://schemas.openxmlformats.org/officeDocument/2006/relationships" r:embed="rId2" cstate="print"/>
        <a:srcRect/>
        <a:stretch>
          <a:fillRect/>
        </a:stretch>
      </xdr:blipFill>
      <xdr:spPr bwMode="auto">
        <a:xfrm>
          <a:off x="16541750" y="13214350"/>
          <a:ext cx="1054100" cy="600075"/>
        </a:xfrm>
        <a:prstGeom prst="rect">
          <a:avLst/>
        </a:prstGeom>
        <a:noFill/>
        <a:ln w="9525">
          <a:noFill/>
          <a:miter lim="800000"/>
          <a:headEnd/>
          <a:tailEnd/>
        </a:ln>
      </xdr:spPr>
    </xdr:pic>
    <xdr:clientData/>
  </xdr:twoCellAnchor>
  <xdr:twoCellAnchor>
    <xdr:from>
      <xdr:col>22</xdr:col>
      <xdr:colOff>333375</xdr:colOff>
      <xdr:row>55</xdr:row>
      <xdr:rowOff>25400</xdr:rowOff>
    </xdr:from>
    <xdr:to>
      <xdr:col>23</xdr:col>
      <xdr:colOff>165100</xdr:colOff>
      <xdr:row>55</xdr:row>
      <xdr:rowOff>25400</xdr:rowOff>
    </xdr:to>
    <xdr:cxnSp macro="">
      <xdr:nvCxnSpPr>
        <xdr:cNvPr id="7" name="60 Conector recto"/>
        <xdr:cNvCxnSpPr>
          <a:cxnSpLocks noChangeShapeType="1"/>
        </xdr:cNvCxnSpPr>
      </xdr:nvCxnSpPr>
      <xdr:spPr bwMode="auto">
        <a:xfrm>
          <a:off x="19345275" y="13589000"/>
          <a:ext cx="641350" cy="0"/>
        </a:xfrm>
        <a:prstGeom prst="line">
          <a:avLst/>
        </a:prstGeom>
        <a:noFill/>
        <a:ln w="9525" algn="ctr">
          <a:solidFill>
            <a:srgbClr val="000000"/>
          </a:solidFill>
          <a:round/>
          <a:headEnd/>
          <a:tailEnd/>
        </a:ln>
      </xdr:spPr>
    </xdr:cxnSp>
    <xdr:clientData/>
  </xdr:twoCellAnchor>
  <xdr:twoCellAnchor>
    <xdr:from>
      <xdr:col>22</xdr:col>
      <xdr:colOff>777875</xdr:colOff>
      <xdr:row>52</xdr:row>
      <xdr:rowOff>9525</xdr:rowOff>
    </xdr:from>
    <xdr:to>
      <xdr:col>24</xdr:col>
      <xdr:colOff>123825</xdr:colOff>
      <xdr:row>52</xdr:row>
      <xdr:rowOff>9525</xdr:rowOff>
    </xdr:to>
    <xdr:cxnSp macro="">
      <xdr:nvCxnSpPr>
        <xdr:cNvPr id="8" name="61 Conector recto"/>
        <xdr:cNvCxnSpPr>
          <a:cxnSpLocks noChangeShapeType="1"/>
        </xdr:cNvCxnSpPr>
      </xdr:nvCxnSpPr>
      <xdr:spPr bwMode="auto">
        <a:xfrm flipV="1">
          <a:off x="19789775" y="12820650"/>
          <a:ext cx="584200" cy="0"/>
        </a:xfrm>
        <a:prstGeom prst="line">
          <a:avLst/>
        </a:prstGeom>
        <a:noFill/>
        <a:ln w="9525" algn="ctr">
          <a:solidFill>
            <a:srgbClr val="000000"/>
          </a:solidFill>
          <a:round/>
          <a:headEnd/>
          <a:tailEnd/>
        </a:ln>
      </xdr:spPr>
    </xdr:cxnSp>
    <xdr:clientData/>
  </xdr:twoCellAnchor>
  <xdr:twoCellAnchor>
    <xdr:from>
      <xdr:col>19</xdr:col>
      <xdr:colOff>695324</xdr:colOff>
      <xdr:row>52</xdr:row>
      <xdr:rowOff>127000</xdr:rowOff>
    </xdr:from>
    <xdr:to>
      <xdr:col>23</xdr:col>
      <xdr:colOff>215900</xdr:colOff>
      <xdr:row>58</xdr:row>
      <xdr:rowOff>0</xdr:rowOff>
    </xdr:to>
    <xdr:sp macro="" textlink="">
      <xdr:nvSpPr>
        <xdr:cNvPr id="9" name="64 Corchetes"/>
        <xdr:cNvSpPr>
          <a:spLocks noChangeArrowheads="1"/>
        </xdr:cNvSpPr>
      </xdr:nvSpPr>
      <xdr:spPr bwMode="auto">
        <a:xfrm>
          <a:off x="17602199" y="12938125"/>
          <a:ext cx="2435226" cy="1368425"/>
        </a:xfrm>
        <a:prstGeom prst="bracketPair">
          <a:avLst>
            <a:gd name="adj" fmla="val 16667"/>
          </a:avLst>
        </a:prstGeom>
        <a:noFill/>
        <a:ln w="9525" algn="ctr">
          <a:solidFill>
            <a:srgbClr val="000000"/>
          </a:solidFill>
          <a:round/>
          <a:headEnd/>
          <a:tailEnd/>
        </a:ln>
      </xdr:spPr>
    </xdr:sp>
    <xdr:clientData/>
  </xdr:twoCellAnchor>
  <xdr:twoCellAnchor editAs="oneCell">
    <xdr:from>
      <xdr:col>20</xdr:col>
      <xdr:colOff>288925</xdr:colOff>
      <xdr:row>54</xdr:row>
      <xdr:rowOff>266700</xdr:rowOff>
    </xdr:from>
    <xdr:to>
      <xdr:col>20</xdr:col>
      <xdr:colOff>450850</xdr:colOff>
      <xdr:row>55</xdr:row>
      <xdr:rowOff>104775</xdr:rowOff>
    </xdr:to>
    <xdr:pic>
      <xdr:nvPicPr>
        <xdr:cNvPr id="10" name="Picture 95"/>
        <xdr:cNvPicPr>
          <a:picLocks noChangeAspect="1" noChangeArrowheads="1"/>
        </xdr:cNvPicPr>
      </xdr:nvPicPr>
      <xdr:blipFill>
        <a:blip xmlns:r="http://schemas.openxmlformats.org/officeDocument/2006/relationships" r:embed="rId3" cstate="print"/>
        <a:srcRect/>
        <a:stretch>
          <a:fillRect/>
        </a:stretch>
      </xdr:blipFill>
      <xdr:spPr bwMode="auto">
        <a:xfrm>
          <a:off x="18005425" y="13468350"/>
          <a:ext cx="161925" cy="200025"/>
        </a:xfrm>
        <a:prstGeom prst="rect">
          <a:avLst/>
        </a:prstGeom>
        <a:noFill/>
        <a:ln w="9525">
          <a:noFill/>
          <a:miter lim="800000"/>
          <a:headEnd/>
          <a:tailEnd/>
        </a:ln>
      </xdr:spPr>
    </xdr:pic>
    <xdr:clientData/>
  </xdr:twoCellAnchor>
  <xdr:twoCellAnchor editAs="oneCell">
    <xdr:from>
      <xdr:col>22</xdr:col>
      <xdr:colOff>53975</xdr:colOff>
      <xdr:row>54</xdr:row>
      <xdr:rowOff>295275</xdr:rowOff>
    </xdr:from>
    <xdr:to>
      <xdr:col>22</xdr:col>
      <xdr:colOff>247650</xdr:colOff>
      <xdr:row>55</xdr:row>
      <xdr:rowOff>161925</xdr:rowOff>
    </xdr:to>
    <xdr:pic>
      <xdr:nvPicPr>
        <xdr:cNvPr id="11" name="Picture 66"/>
        <xdr:cNvPicPr>
          <a:picLocks noChangeAspect="1" noChangeArrowheads="1"/>
        </xdr:cNvPicPr>
      </xdr:nvPicPr>
      <xdr:blipFill>
        <a:blip xmlns:r="http://schemas.openxmlformats.org/officeDocument/2006/relationships" r:embed="rId4" cstate="print"/>
        <a:srcRect/>
        <a:stretch>
          <a:fillRect/>
        </a:stretch>
      </xdr:blipFill>
      <xdr:spPr bwMode="auto">
        <a:xfrm>
          <a:off x="19065875" y="13496925"/>
          <a:ext cx="193675" cy="228600"/>
        </a:xfrm>
        <a:prstGeom prst="rect">
          <a:avLst/>
        </a:prstGeom>
        <a:noFill/>
        <a:ln w="9525">
          <a:noFill/>
          <a:miter lim="800000"/>
          <a:headEnd/>
          <a:tailEnd/>
        </a:ln>
      </xdr:spPr>
    </xdr:pic>
    <xdr:clientData/>
  </xdr:twoCellAnchor>
  <xdr:twoCellAnchor editAs="oneCell">
    <xdr:from>
      <xdr:col>23</xdr:col>
      <xdr:colOff>365125</xdr:colOff>
      <xdr:row>54</xdr:row>
      <xdr:rowOff>292100</xdr:rowOff>
    </xdr:from>
    <xdr:to>
      <xdr:col>24</xdr:col>
      <xdr:colOff>247650</xdr:colOff>
      <xdr:row>55</xdr:row>
      <xdr:rowOff>120650</xdr:rowOff>
    </xdr:to>
    <xdr:pic>
      <xdr:nvPicPr>
        <xdr:cNvPr id="12" name="Picture 97"/>
        <xdr:cNvPicPr>
          <a:picLocks noChangeAspect="1" noChangeArrowheads="1"/>
        </xdr:cNvPicPr>
      </xdr:nvPicPr>
      <xdr:blipFill>
        <a:blip xmlns:r="http://schemas.openxmlformats.org/officeDocument/2006/relationships" r:embed="rId5" cstate="print"/>
        <a:srcRect/>
        <a:stretch>
          <a:fillRect/>
        </a:stretch>
      </xdr:blipFill>
      <xdr:spPr bwMode="auto">
        <a:xfrm>
          <a:off x="20186650" y="13493750"/>
          <a:ext cx="311150" cy="190500"/>
        </a:xfrm>
        <a:prstGeom prst="rect">
          <a:avLst/>
        </a:prstGeom>
        <a:noFill/>
        <a:ln w="9525">
          <a:noFill/>
          <a:miter lim="800000"/>
          <a:headEnd/>
          <a:tailEnd/>
        </a:ln>
      </xdr:spPr>
    </xdr:pic>
    <xdr:clientData/>
  </xdr:twoCellAnchor>
  <xdr:twoCellAnchor editAs="oneCell">
    <xdr:from>
      <xdr:col>17</xdr:col>
      <xdr:colOff>431800</xdr:colOff>
      <xdr:row>25</xdr:row>
      <xdr:rowOff>152400</xdr:rowOff>
    </xdr:from>
    <xdr:to>
      <xdr:col>18</xdr:col>
      <xdr:colOff>609600</xdr:colOff>
      <xdr:row>28</xdr:row>
      <xdr:rowOff>28575</xdr:rowOff>
    </xdr:to>
    <xdr:pic>
      <xdr:nvPicPr>
        <xdr:cNvPr id="14" name="Picture 24"/>
        <xdr:cNvPicPr>
          <a:picLocks noChangeAspect="1" noChangeArrowheads="1"/>
        </xdr:cNvPicPr>
      </xdr:nvPicPr>
      <xdr:blipFill>
        <a:blip xmlns:r="http://schemas.openxmlformats.org/officeDocument/2006/relationships" r:embed="rId6" cstate="print"/>
        <a:srcRect/>
        <a:stretch>
          <a:fillRect/>
        </a:stretch>
      </xdr:blipFill>
      <xdr:spPr bwMode="auto">
        <a:xfrm>
          <a:off x="15767050" y="6772275"/>
          <a:ext cx="939800" cy="447675"/>
        </a:xfrm>
        <a:prstGeom prst="rect">
          <a:avLst/>
        </a:prstGeom>
        <a:noFill/>
      </xdr:spPr>
    </xdr:pic>
    <xdr:clientData/>
  </xdr:twoCellAnchor>
  <xdr:twoCellAnchor>
    <xdr:from>
      <xdr:col>18</xdr:col>
      <xdr:colOff>393700</xdr:colOff>
      <xdr:row>26</xdr:row>
      <xdr:rowOff>101600</xdr:rowOff>
    </xdr:from>
    <xdr:to>
      <xdr:col>20</xdr:col>
      <xdr:colOff>546100</xdr:colOff>
      <xdr:row>28</xdr:row>
      <xdr:rowOff>50800</xdr:rowOff>
    </xdr:to>
    <xdr:sp macro="" textlink="">
      <xdr:nvSpPr>
        <xdr:cNvPr id="15" name="14 CuadroTexto"/>
        <xdr:cNvSpPr txBox="1"/>
      </xdr:nvSpPr>
      <xdr:spPr>
        <a:xfrm>
          <a:off x="16490950" y="6911975"/>
          <a:ext cx="173355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ES" sz="1600" b="1">
              <a:latin typeface="Garamond" pitchFamily="18" charset="0"/>
            </a:rPr>
            <a:t>=</a:t>
          </a:r>
          <a:r>
            <a:rPr lang="es-ES" sz="1600" b="1" baseline="0">
              <a:latin typeface="Garamond" pitchFamily="18" charset="0"/>
            </a:rPr>
            <a:t> Flujos de Pago</a:t>
          </a:r>
          <a:endParaRPr lang="es-ES" sz="1600" b="1">
            <a:latin typeface="Garamond" pitchFamily="18" charset="0"/>
          </a:endParaRPr>
        </a:p>
      </xdr:txBody>
    </xdr:sp>
    <xdr:clientData/>
  </xdr:twoCellAnchor>
  <xdr:twoCellAnchor editAs="oneCell">
    <xdr:from>
      <xdr:col>17</xdr:col>
      <xdr:colOff>698500</xdr:colOff>
      <xdr:row>28</xdr:row>
      <xdr:rowOff>165100</xdr:rowOff>
    </xdr:from>
    <xdr:to>
      <xdr:col>18</xdr:col>
      <xdr:colOff>381000</xdr:colOff>
      <xdr:row>30</xdr:row>
      <xdr:rowOff>129868</xdr:rowOff>
    </xdr:to>
    <xdr:pic>
      <xdr:nvPicPr>
        <xdr:cNvPr id="16" name="Picture 26"/>
        <xdr:cNvPicPr>
          <a:picLocks noChangeAspect="1" noChangeArrowheads="1"/>
        </xdr:cNvPicPr>
      </xdr:nvPicPr>
      <xdr:blipFill>
        <a:blip xmlns:r="http://schemas.openxmlformats.org/officeDocument/2006/relationships" r:embed="rId7" cstate="print"/>
        <a:srcRect/>
        <a:stretch>
          <a:fillRect/>
        </a:stretch>
      </xdr:blipFill>
      <xdr:spPr bwMode="auto">
        <a:xfrm>
          <a:off x="16033750" y="7356475"/>
          <a:ext cx="444500" cy="355293"/>
        </a:xfrm>
        <a:prstGeom prst="rect">
          <a:avLst/>
        </a:prstGeom>
        <a:noFill/>
      </xdr:spPr>
    </xdr:pic>
    <xdr:clientData/>
  </xdr:twoCellAnchor>
  <xdr:twoCellAnchor>
    <xdr:from>
      <xdr:col>18</xdr:col>
      <xdr:colOff>406400</xdr:colOff>
      <xdr:row>29</xdr:row>
      <xdr:rowOff>0</xdr:rowOff>
    </xdr:from>
    <xdr:to>
      <xdr:col>21</xdr:col>
      <xdr:colOff>0</xdr:colOff>
      <xdr:row>32</xdr:row>
      <xdr:rowOff>0</xdr:rowOff>
    </xdr:to>
    <xdr:sp macro="" textlink="">
      <xdr:nvSpPr>
        <xdr:cNvPr id="17" name="16 CuadroTexto"/>
        <xdr:cNvSpPr txBox="1"/>
      </xdr:nvSpPr>
      <xdr:spPr>
        <a:xfrm>
          <a:off x="16503650" y="7391400"/>
          <a:ext cx="1717675" cy="590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s-ES" sz="1600" b="1">
              <a:latin typeface="Garamond" pitchFamily="18" charset="0"/>
            </a:rPr>
            <a:t>=</a:t>
          </a:r>
          <a:r>
            <a:rPr lang="es-ES" sz="1600" b="1" baseline="0">
              <a:latin typeface="Garamond" pitchFamily="18" charset="0"/>
            </a:rPr>
            <a:t> Período de            Pago</a:t>
          </a:r>
          <a:endParaRPr lang="es-ES" sz="1600" b="1">
            <a:latin typeface="Garamond" pitchFamily="18" charset="0"/>
          </a:endParaRPr>
        </a:p>
      </xdr:txBody>
    </xdr:sp>
    <xdr:clientData/>
  </xdr:twoCellAnchor>
  <xdr:twoCellAnchor editAs="oneCell">
    <xdr:from>
      <xdr:col>17</xdr:col>
      <xdr:colOff>736600</xdr:colOff>
      <xdr:row>48</xdr:row>
      <xdr:rowOff>12700</xdr:rowOff>
    </xdr:from>
    <xdr:to>
      <xdr:col>18</xdr:col>
      <xdr:colOff>493486</xdr:colOff>
      <xdr:row>49</xdr:row>
      <xdr:rowOff>190500</xdr:rowOff>
    </xdr:to>
    <xdr:pic>
      <xdr:nvPicPr>
        <xdr:cNvPr id="18" name="Picture 29"/>
        <xdr:cNvPicPr>
          <a:picLocks noChangeAspect="1" noChangeArrowheads="1"/>
        </xdr:cNvPicPr>
      </xdr:nvPicPr>
      <xdr:blipFill>
        <a:blip xmlns:r="http://schemas.openxmlformats.org/officeDocument/2006/relationships" r:embed="rId8" cstate="print"/>
        <a:srcRect/>
        <a:stretch>
          <a:fillRect/>
        </a:stretch>
      </xdr:blipFill>
      <xdr:spPr bwMode="auto">
        <a:xfrm>
          <a:off x="16071850" y="11795125"/>
          <a:ext cx="518886" cy="415925"/>
        </a:xfrm>
        <a:prstGeom prst="rect">
          <a:avLst/>
        </a:prstGeom>
        <a:noFill/>
      </xdr:spPr>
    </xdr:pic>
    <xdr:clientData/>
  </xdr:twoCellAnchor>
  <xdr:twoCellAnchor>
    <xdr:from>
      <xdr:col>18</xdr:col>
      <xdr:colOff>368300</xdr:colOff>
      <xdr:row>48</xdr:row>
      <xdr:rowOff>88900</xdr:rowOff>
    </xdr:from>
    <xdr:to>
      <xdr:col>21</xdr:col>
      <xdr:colOff>469900</xdr:colOff>
      <xdr:row>49</xdr:row>
      <xdr:rowOff>177800</xdr:rowOff>
    </xdr:to>
    <xdr:sp macro="" textlink="">
      <xdr:nvSpPr>
        <xdr:cNvPr id="19" name="18 CuadroTexto"/>
        <xdr:cNvSpPr txBox="1"/>
      </xdr:nvSpPr>
      <xdr:spPr>
        <a:xfrm>
          <a:off x="16465550" y="11871325"/>
          <a:ext cx="2225675" cy="327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ES" sz="1600" b="1">
              <a:latin typeface="Garamond" pitchFamily="18" charset="0"/>
            </a:rPr>
            <a:t>=</a:t>
          </a:r>
          <a:r>
            <a:rPr lang="es-ES" sz="1600" b="1" baseline="0">
              <a:latin typeface="Garamond" pitchFamily="18" charset="0"/>
            </a:rPr>
            <a:t> Frecuencia de pago</a:t>
          </a:r>
          <a:endParaRPr lang="es-ES" sz="1600" b="1">
            <a:latin typeface="Garamond"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20</xdr:col>
          <xdr:colOff>219075</xdr:colOff>
          <xdr:row>15</xdr:row>
          <xdr:rowOff>161925</xdr:rowOff>
        </xdr:from>
        <xdr:to>
          <xdr:col>24</xdr:col>
          <xdr:colOff>676275</xdr:colOff>
          <xdr:row>21</xdr:row>
          <xdr:rowOff>28575</xdr:rowOff>
        </xdr:to>
        <xdr:sp macro="" textlink="">
          <xdr:nvSpPr>
            <xdr:cNvPr id="13313" name="Object 1" hidden="1">
              <a:extLst>
                <a:ext uri="{63B3BB69-23CF-44E3-9099-C40C66FF867C}">
                  <a14:compatExt spid="_x0000_s13313"/>
                </a:ext>
              </a:extLst>
            </xdr:cNvPr>
            <xdr:cNvSpPr/>
          </xdr:nvSpPr>
          <xdr:spPr bwMode="auto">
            <a:xfrm>
              <a:off x="0" y="0"/>
              <a:ext cx="0" cy="0"/>
            </a:xfrm>
            <a:prstGeom prst="rect">
              <a:avLst/>
            </a:prstGeom>
            <a:noFill/>
            <a:ln>
              <a:noFill/>
            </a:ln>
            <a:extLst>
              <a:ext uri="{909E8E84-426E-40DD-AFC4-6F175D3DCCD1}">
                <a14:hiddenFill>
                  <a:solidFill>
                    <a:srgbClr val="FFFF99" mc:Ignorable="a14" a14:legacySpreadsheetColorIndex="4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0</xdr:col>
      <xdr:colOff>0</xdr:colOff>
      <xdr:row>0</xdr:row>
      <xdr:rowOff>0</xdr:rowOff>
    </xdr:from>
    <xdr:to>
      <xdr:col>2</xdr:col>
      <xdr:colOff>1165225</xdr:colOff>
      <xdr:row>0</xdr:row>
      <xdr:rowOff>768350</xdr:rowOff>
    </xdr:to>
    <xdr:pic>
      <xdr:nvPicPr>
        <xdr:cNvPr id="21" name="2 Imagen" descr="LOGOEXCEL.png"/>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0" y="0"/>
          <a:ext cx="1800225" cy="768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00FF"/>
        </a:solidFill>
        <a:ln w="9525"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00FF"/>
        </a:solidFill>
        <a:ln w="9525"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oleObject" Target="../embeddings/oleObject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image" Target="../media/image2.emf"/><Relationship Id="rId4" Type="http://schemas.openxmlformats.org/officeDocument/2006/relationships/oleObject" Target="../embeddings/oleObject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image" Target="../media/image2.emf"/><Relationship Id="rId4" Type="http://schemas.openxmlformats.org/officeDocument/2006/relationships/oleObject" Target="../embeddings/oleObject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image" Target="../media/image2.emf"/><Relationship Id="rId4" Type="http://schemas.openxmlformats.org/officeDocument/2006/relationships/oleObject" Target="../embeddings/oleObject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O22"/>
  <sheetViews>
    <sheetView showGridLines="0" showRowColHeaders="0" tabSelected="1" workbookViewId="0">
      <selection activeCell="E10" sqref="E10:N11"/>
    </sheetView>
  </sheetViews>
  <sheetFormatPr baseColWidth="10" defaultRowHeight="15.75" x14ac:dyDescent="0.25"/>
  <cols>
    <col min="1" max="1" width="11.42578125" style="132"/>
    <col min="2" max="2" width="3.28515625" style="132" customWidth="1"/>
    <col min="3" max="3" width="3.7109375" style="132" customWidth="1"/>
    <col min="4" max="14" width="11.42578125" style="132"/>
    <col min="15" max="15" width="19.85546875" style="133" customWidth="1"/>
    <col min="16" max="16384" width="11.42578125" style="132"/>
  </cols>
  <sheetData>
    <row r="1" spans="1:15" ht="57.75" customHeight="1" x14ac:dyDescent="0.25">
      <c r="A1" s="200" t="s">
        <v>60</v>
      </c>
      <c r="B1" s="200"/>
      <c r="C1" s="200"/>
      <c r="D1" s="200"/>
      <c r="E1" s="200"/>
      <c r="F1" s="200"/>
      <c r="G1" s="200"/>
      <c r="H1" s="200"/>
      <c r="I1" s="200"/>
      <c r="J1" s="200"/>
      <c r="K1" s="200"/>
      <c r="L1" s="200"/>
      <c r="M1" s="200"/>
      <c r="N1" s="200"/>
      <c r="O1" s="131"/>
    </row>
    <row r="2" spans="1:15" ht="23.25" customHeight="1" x14ac:dyDescent="0.25">
      <c r="A2" s="200" t="s">
        <v>61</v>
      </c>
      <c r="B2" s="200"/>
      <c r="C2" s="200"/>
      <c r="D2" s="200"/>
      <c r="E2" s="200"/>
      <c r="F2" s="200"/>
      <c r="G2" s="200"/>
      <c r="H2" s="200"/>
      <c r="I2" s="200"/>
      <c r="J2" s="200"/>
      <c r="K2" s="200"/>
      <c r="L2" s="200"/>
      <c r="M2" s="200"/>
      <c r="N2" s="200"/>
      <c r="O2" s="131"/>
    </row>
    <row r="5" spans="1:15" x14ac:dyDescent="0.25">
      <c r="B5" s="201">
        <v>1</v>
      </c>
      <c r="C5" s="134" t="s">
        <v>96</v>
      </c>
      <c r="D5" s="134"/>
      <c r="E5" s="134"/>
      <c r="F5" s="134"/>
      <c r="G5" s="134"/>
      <c r="H5" s="134"/>
      <c r="I5" s="134"/>
      <c r="J5" s="134"/>
      <c r="K5" s="134"/>
      <c r="L5" s="134"/>
    </row>
    <row r="6" spans="1:15" x14ac:dyDescent="0.25">
      <c r="B6" s="134"/>
      <c r="C6" s="134"/>
      <c r="D6" s="134"/>
      <c r="E6" s="134"/>
      <c r="F6" s="134"/>
      <c r="G6" s="134"/>
      <c r="H6" s="134"/>
      <c r="I6" s="134"/>
      <c r="J6" s="134"/>
      <c r="K6" s="134"/>
      <c r="L6" s="134"/>
    </row>
    <row r="7" spans="1:15" x14ac:dyDescent="0.25">
      <c r="B7" s="134">
        <v>2</v>
      </c>
      <c r="C7" s="134" t="s">
        <v>62</v>
      </c>
      <c r="D7" s="134"/>
      <c r="E7" s="134"/>
      <c r="F7" s="134"/>
      <c r="G7" s="134"/>
      <c r="H7" s="134"/>
      <c r="I7" s="134"/>
      <c r="J7" s="134"/>
      <c r="K7" s="134"/>
      <c r="L7" s="134"/>
    </row>
    <row r="8" spans="1:15" x14ac:dyDescent="0.25">
      <c r="B8" s="134"/>
      <c r="C8" s="134"/>
      <c r="D8" s="134"/>
      <c r="E8" s="134"/>
      <c r="F8" s="134"/>
      <c r="G8" s="134"/>
      <c r="H8" s="134"/>
      <c r="I8" s="134"/>
      <c r="J8" s="134"/>
      <c r="K8" s="134"/>
      <c r="L8" s="134"/>
    </row>
    <row r="9" spans="1:15" x14ac:dyDescent="0.25">
      <c r="B9" s="134"/>
      <c r="C9" s="134"/>
      <c r="D9" s="145" t="s">
        <v>97</v>
      </c>
      <c r="E9" s="150" t="s">
        <v>98</v>
      </c>
      <c r="F9" s="150"/>
      <c r="G9" s="150"/>
      <c r="H9" s="150"/>
      <c r="I9" s="150"/>
      <c r="J9" s="150"/>
      <c r="K9" s="150"/>
      <c r="L9" s="150"/>
      <c r="M9" s="150"/>
      <c r="N9" s="150"/>
    </row>
    <row r="10" spans="1:15" ht="15.75" customHeight="1" x14ac:dyDescent="0.25">
      <c r="B10" s="134"/>
      <c r="C10" s="134"/>
      <c r="D10" s="134"/>
      <c r="E10" s="149" t="s">
        <v>99</v>
      </c>
      <c r="F10" s="149"/>
      <c r="G10" s="149"/>
      <c r="H10" s="149"/>
      <c r="I10" s="149"/>
      <c r="J10" s="149"/>
      <c r="K10" s="149"/>
      <c r="L10" s="149"/>
      <c r="M10" s="149"/>
      <c r="N10" s="149"/>
    </row>
    <row r="11" spans="1:15" x14ac:dyDescent="0.25">
      <c r="B11" s="134"/>
      <c r="C11" s="134"/>
      <c r="D11" s="134"/>
      <c r="E11" s="149"/>
      <c r="F11" s="149"/>
      <c r="G11" s="149"/>
      <c r="H11" s="149"/>
      <c r="I11" s="149"/>
      <c r="J11" s="149"/>
      <c r="K11" s="149"/>
      <c r="L11" s="149"/>
      <c r="M11" s="149"/>
      <c r="N11" s="149"/>
    </row>
    <row r="12" spans="1:15" x14ac:dyDescent="0.25">
      <c r="B12" s="134"/>
      <c r="C12" s="134"/>
      <c r="D12" s="134"/>
      <c r="E12" s="134"/>
      <c r="F12" s="134"/>
      <c r="G12" s="134"/>
      <c r="H12" s="134"/>
      <c r="I12" s="134"/>
      <c r="J12" s="134"/>
      <c r="K12" s="134"/>
      <c r="L12" s="134"/>
    </row>
    <row r="13" spans="1:15" x14ac:dyDescent="0.25">
      <c r="B13" s="134"/>
      <c r="C13" s="134"/>
      <c r="D13" s="145" t="s">
        <v>100</v>
      </c>
      <c r="E13" s="150" t="s">
        <v>101</v>
      </c>
      <c r="F13" s="150"/>
      <c r="G13" s="150"/>
      <c r="H13" s="150"/>
      <c r="I13" s="150"/>
      <c r="J13" s="150"/>
      <c r="K13" s="150"/>
      <c r="L13" s="150"/>
      <c r="M13" s="150"/>
      <c r="N13" s="150"/>
    </row>
    <row r="14" spans="1:15" ht="15.75" customHeight="1" x14ac:dyDescent="0.25">
      <c r="B14" s="134"/>
      <c r="C14" s="134"/>
      <c r="D14" s="134"/>
      <c r="E14" s="149" t="s">
        <v>102</v>
      </c>
      <c r="F14" s="149"/>
      <c r="G14" s="149"/>
      <c r="H14" s="149"/>
      <c r="I14" s="149"/>
      <c r="J14" s="149"/>
      <c r="K14" s="149"/>
      <c r="L14" s="149"/>
      <c r="M14" s="149"/>
      <c r="N14" s="149"/>
    </row>
    <row r="15" spans="1:15" x14ac:dyDescent="0.25">
      <c r="B15" s="134"/>
      <c r="C15" s="134"/>
      <c r="D15" s="134"/>
      <c r="E15" s="149"/>
      <c r="F15" s="149"/>
      <c r="G15" s="149"/>
      <c r="H15" s="149"/>
      <c r="I15" s="149"/>
      <c r="J15" s="149"/>
      <c r="K15" s="149"/>
      <c r="L15" s="149"/>
      <c r="M15" s="149"/>
      <c r="N15" s="149"/>
    </row>
    <row r="16" spans="1:15" ht="18" x14ac:dyDescent="0.25">
      <c r="B16" s="134"/>
      <c r="C16" s="134"/>
      <c r="D16" s="134"/>
      <c r="E16" s="146"/>
      <c r="F16" s="146"/>
      <c r="G16" s="146"/>
      <c r="H16" s="146"/>
      <c r="I16" s="147"/>
      <c r="J16" s="134"/>
      <c r="K16" s="134"/>
      <c r="L16" s="134"/>
    </row>
    <row r="17" spans="2:14" x14ac:dyDescent="0.25">
      <c r="B17" s="134"/>
      <c r="C17" s="134"/>
      <c r="D17" s="145" t="s">
        <v>103</v>
      </c>
      <c r="E17" s="150" t="s">
        <v>104</v>
      </c>
      <c r="F17" s="150"/>
      <c r="G17" s="150"/>
      <c r="H17" s="150"/>
      <c r="I17" s="150"/>
      <c r="J17" s="150"/>
      <c r="K17" s="150"/>
      <c r="L17" s="150"/>
      <c r="M17" s="150"/>
      <c r="N17" s="150"/>
    </row>
    <row r="18" spans="2:14" ht="18" customHeight="1" x14ac:dyDescent="0.25">
      <c r="B18" s="134"/>
      <c r="C18" s="134"/>
      <c r="D18" s="134"/>
      <c r="E18" s="149" t="s">
        <v>105</v>
      </c>
      <c r="F18" s="149"/>
      <c r="G18" s="149"/>
      <c r="H18" s="149"/>
      <c r="I18" s="149"/>
      <c r="J18" s="149"/>
      <c r="K18" s="149"/>
      <c r="L18" s="149"/>
      <c r="M18" s="149"/>
      <c r="N18" s="149"/>
    </row>
    <row r="19" spans="2:14" ht="18" customHeight="1" x14ac:dyDescent="0.25">
      <c r="B19" s="134"/>
      <c r="C19" s="134"/>
      <c r="D19" s="134"/>
      <c r="E19" s="149"/>
      <c r="F19" s="149"/>
      <c r="G19" s="149"/>
      <c r="H19" s="149"/>
      <c r="I19" s="149"/>
      <c r="J19" s="149"/>
      <c r="K19" s="149"/>
      <c r="L19" s="149"/>
      <c r="M19" s="149"/>
      <c r="N19" s="149"/>
    </row>
    <row r="20" spans="2:14" ht="28.5" customHeight="1" x14ac:dyDescent="0.25">
      <c r="B20" s="134"/>
      <c r="C20" s="134"/>
      <c r="D20" s="129"/>
      <c r="E20" s="149"/>
      <c r="F20" s="149"/>
      <c r="G20" s="149"/>
      <c r="H20" s="149"/>
      <c r="I20" s="149"/>
      <c r="J20" s="149"/>
      <c r="K20" s="149"/>
      <c r="L20" s="149"/>
      <c r="M20" s="149"/>
      <c r="N20" s="149"/>
    </row>
    <row r="21" spans="2:14" ht="18" customHeight="1" x14ac:dyDescent="0.25">
      <c r="B21" s="134"/>
      <c r="C21" s="134"/>
      <c r="D21" s="129"/>
      <c r="E21" s="146"/>
      <c r="F21" s="146"/>
      <c r="G21" s="146"/>
      <c r="H21" s="146"/>
      <c r="I21" s="147"/>
      <c r="J21" s="134"/>
      <c r="K21" s="134"/>
      <c r="L21" s="134"/>
    </row>
    <row r="22" spans="2:14" x14ac:dyDescent="0.25">
      <c r="B22" s="201">
        <v>3</v>
      </c>
      <c r="C22" s="134" t="s">
        <v>114</v>
      </c>
      <c r="D22" s="134"/>
      <c r="E22" s="134"/>
      <c r="F22" s="134"/>
      <c r="G22" s="134"/>
      <c r="H22" s="134"/>
      <c r="I22" s="134"/>
      <c r="J22" s="134"/>
      <c r="K22" s="134"/>
      <c r="L22" s="134"/>
    </row>
  </sheetData>
  <mergeCells count="8">
    <mergeCell ref="A1:N1"/>
    <mergeCell ref="A2:N2"/>
    <mergeCell ref="E9:N9"/>
    <mergeCell ref="E13:N13"/>
    <mergeCell ref="E17:N17"/>
    <mergeCell ref="E18:N20"/>
    <mergeCell ref="E14:N15"/>
    <mergeCell ref="E10:N11"/>
  </mergeCells>
  <hyperlinks>
    <hyperlink ref="D9" location="'Ejemplo 2 Caso I'!A1" display="Caso I"/>
    <hyperlink ref="D13" location="'Ejemplo 2 Caso II'!A1" display="Caso II"/>
    <hyperlink ref="D17" location="'Ejemplo 2 Caso III'!A1" display="Caso III"/>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Y462"/>
  <sheetViews>
    <sheetView showGridLines="0" showRowColHeaders="0" zoomScale="75" workbookViewId="0">
      <selection activeCell="D38" sqref="D38"/>
    </sheetView>
  </sheetViews>
  <sheetFormatPr baseColWidth="10" defaultRowHeight="12.75" x14ac:dyDescent="0.2"/>
  <cols>
    <col min="1" max="2" width="4.7109375" style="41" customWidth="1"/>
    <col min="3" max="3" width="29.42578125" style="41" customWidth="1"/>
    <col min="4" max="4" width="24.5703125" style="41" customWidth="1"/>
    <col min="5" max="5" width="18.5703125" style="41" customWidth="1"/>
    <col min="6" max="6" width="14.140625" style="41" bestFit="1" customWidth="1"/>
    <col min="7" max="7" width="14.140625" style="41" customWidth="1"/>
    <col min="8" max="8" width="19.28515625" style="45" customWidth="1"/>
    <col min="9" max="9" width="13.85546875" style="41" customWidth="1"/>
    <col min="10" max="10" width="14" style="41" customWidth="1"/>
    <col min="11" max="11" width="15.140625" style="41" customWidth="1"/>
    <col min="12" max="12" width="14" style="41" customWidth="1"/>
    <col min="13" max="13" width="6.85546875" style="41" customWidth="1"/>
    <col min="14" max="14" width="13.7109375" style="41" customWidth="1"/>
    <col min="15" max="17" width="11.42578125" style="41"/>
    <col min="18" max="19" width="12.140625" style="41" bestFit="1" customWidth="1"/>
    <col min="20" max="20" width="7.5703125" style="41" bestFit="1" customWidth="1"/>
    <col min="21" max="21" width="11.85546875" style="41" bestFit="1" customWidth="1"/>
    <col min="22" max="22" width="12.140625" style="41" bestFit="1" customWidth="1"/>
    <col min="23" max="23" width="6.42578125" style="41" customWidth="1"/>
    <col min="24" max="16384" width="11.42578125" style="41"/>
  </cols>
  <sheetData>
    <row r="1" spans="1:25" s="39" customFormat="1" ht="77.25" customHeight="1" x14ac:dyDescent="0.4">
      <c r="A1" s="38"/>
      <c r="B1" s="38"/>
      <c r="C1" s="38"/>
      <c r="D1" s="38"/>
      <c r="E1" s="157" t="s">
        <v>59</v>
      </c>
      <c r="F1" s="157"/>
      <c r="G1" s="157"/>
      <c r="H1" s="157"/>
      <c r="I1" s="157"/>
      <c r="J1" s="157"/>
      <c r="K1" s="157"/>
      <c r="L1" s="157"/>
      <c r="M1" s="157"/>
      <c r="N1" s="157"/>
      <c r="O1" s="157"/>
      <c r="P1" s="157"/>
    </row>
    <row r="2" spans="1:25" ht="21" x14ac:dyDescent="0.35">
      <c r="A2" s="38"/>
      <c r="B2" s="38"/>
      <c r="C2" s="38"/>
      <c r="D2" s="38"/>
      <c r="E2" s="40"/>
      <c r="F2" s="40"/>
      <c r="G2" s="40"/>
      <c r="H2" s="40"/>
      <c r="I2" s="40"/>
      <c r="J2" s="40"/>
      <c r="K2" s="40"/>
      <c r="L2" s="40"/>
      <c r="M2" s="40"/>
      <c r="N2" s="40"/>
      <c r="O2" s="40"/>
      <c r="P2" s="40"/>
    </row>
    <row r="3" spans="1:25" ht="28.5" x14ac:dyDescent="0.2">
      <c r="B3" s="161" t="s">
        <v>45</v>
      </c>
      <c r="C3" s="161"/>
      <c r="D3" s="161"/>
      <c r="E3" s="161"/>
      <c r="F3" s="161"/>
      <c r="G3" s="161"/>
      <c r="H3" s="161"/>
      <c r="I3" s="161"/>
      <c r="J3" s="161"/>
      <c r="K3" s="161"/>
      <c r="L3" s="161"/>
      <c r="M3" s="148"/>
      <c r="N3" s="148"/>
      <c r="O3" s="42"/>
    </row>
    <row r="4" spans="1:25" ht="21" x14ac:dyDescent="0.2">
      <c r="B4" s="162" t="s">
        <v>64</v>
      </c>
      <c r="C4" s="162"/>
      <c r="D4" s="162"/>
      <c r="E4" s="162"/>
      <c r="F4" s="162"/>
      <c r="G4" s="162"/>
      <c r="H4" s="162"/>
      <c r="I4" s="162"/>
      <c r="J4" s="162"/>
      <c r="K4" s="162"/>
      <c r="L4" s="162"/>
      <c r="M4" s="43"/>
      <c r="N4" s="43"/>
      <c r="O4" s="43"/>
    </row>
    <row r="5" spans="1:25" ht="21.75" customHeight="1" x14ac:dyDescent="0.2">
      <c r="C5" s="44" t="s">
        <v>65</v>
      </c>
    </row>
    <row r="7" spans="1:25" ht="13.5" thickBot="1" x14ac:dyDescent="0.25"/>
    <row r="8" spans="1:25" ht="36.75" customHeight="1" thickBot="1" x14ac:dyDescent="0.25">
      <c r="C8" s="158" t="s">
        <v>95</v>
      </c>
      <c r="D8" s="159"/>
      <c r="E8" s="159"/>
      <c r="F8" s="159"/>
      <c r="G8" s="159"/>
      <c r="H8" s="159"/>
      <c r="I8" s="159"/>
      <c r="J8" s="159"/>
      <c r="K8" s="160"/>
    </row>
    <row r="10" spans="1:25" ht="21" x14ac:dyDescent="0.35">
      <c r="H10" s="178" t="str">
        <f>CONCATENATE("Tablas de amortización"," ",credito)</f>
        <v>Tablas de amortización Francesa</v>
      </c>
      <c r="I10" s="178"/>
      <c r="J10" s="178"/>
      <c r="K10" s="178"/>
      <c r="L10" s="178"/>
      <c r="M10" s="178"/>
      <c r="N10" s="178"/>
    </row>
    <row r="11" spans="1:25" ht="21.75" thickBot="1" x14ac:dyDescent="0.4">
      <c r="H11" s="102"/>
      <c r="I11" s="102"/>
      <c r="J11" s="102"/>
      <c r="K11" s="102"/>
      <c r="L11" s="102"/>
      <c r="M11" s="102"/>
      <c r="N11" s="102"/>
    </row>
    <row r="12" spans="1:25" ht="30" x14ac:dyDescent="0.35">
      <c r="H12" s="91"/>
      <c r="I12" s="104" t="s">
        <v>83</v>
      </c>
      <c r="J12" s="104" t="s">
        <v>84</v>
      </c>
      <c r="K12" s="104" t="s">
        <v>85</v>
      </c>
      <c r="L12" s="91"/>
      <c r="M12" s="91"/>
      <c r="N12" s="91"/>
      <c r="Q12" s="151" t="s">
        <v>91</v>
      </c>
      <c r="R12" s="151"/>
      <c r="S12" s="151"/>
      <c r="T12" s="151"/>
      <c r="U12" s="151"/>
      <c r="V12" s="151"/>
      <c r="W12" s="151"/>
      <c r="X12" s="151"/>
      <c r="Y12" s="151"/>
    </row>
    <row r="13" spans="1:25" ht="21.75" thickBot="1" x14ac:dyDescent="0.4">
      <c r="H13" s="90"/>
      <c r="I13" s="103">
        <f>SUM(I16:I315)</f>
        <v>6210.5736241633431</v>
      </c>
      <c r="J13" s="103">
        <f>SUM(J16:J315)</f>
        <v>1210.5736241633397</v>
      </c>
      <c r="K13" s="103">
        <f>I13-J13</f>
        <v>5000.0000000000036</v>
      </c>
      <c r="M13" s="91"/>
      <c r="N13" s="91"/>
      <c r="Q13" s="152"/>
      <c r="R13" s="152"/>
      <c r="S13" s="152"/>
      <c r="T13" s="152"/>
      <c r="U13" s="152"/>
      <c r="V13" s="152"/>
      <c r="W13" s="152"/>
      <c r="X13" s="152"/>
      <c r="Y13" s="152"/>
    </row>
    <row r="14" spans="1:25" ht="15.75" customHeight="1" thickBot="1" x14ac:dyDescent="0.3">
      <c r="C14" s="170" t="s">
        <v>46</v>
      </c>
      <c r="D14" s="171"/>
      <c r="E14" s="46"/>
      <c r="F14" s="46"/>
      <c r="G14" s="46"/>
      <c r="H14" s="47" t="s">
        <v>5</v>
      </c>
      <c r="I14" s="48" t="s">
        <v>3</v>
      </c>
      <c r="J14" s="48" t="s">
        <v>6</v>
      </c>
      <c r="K14" s="48" t="s">
        <v>7</v>
      </c>
      <c r="L14" s="136" t="s">
        <v>8</v>
      </c>
      <c r="M14" s="135"/>
      <c r="N14" s="137" t="s">
        <v>10</v>
      </c>
      <c r="O14" s="118"/>
    </row>
    <row r="15" spans="1:25" ht="15.75" thickBot="1" x14ac:dyDescent="0.3">
      <c r="C15" s="172"/>
      <c r="D15" s="173"/>
      <c r="E15" s="46"/>
      <c r="F15" s="46"/>
      <c r="G15" s="46"/>
      <c r="H15" s="50">
        <v>0</v>
      </c>
      <c r="I15" s="51"/>
      <c r="J15" s="51"/>
      <c r="K15" s="51"/>
      <c r="L15" s="51">
        <f>+D24</f>
        <v>5000</v>
      </c>
      <c r="M15" s="51"/>
      <c r="N15" s="51">
        <f>+L15</f>
        <v>5000</v>
      </c>
      <c r="Q15" s="52" t="s">
        <v>56</v>
      </c>
      <c r="R15" s="53"/>
      <c r="S15" s="54">
        <f>+D31</f>
        <v>24</v>
      </c>
    </row>
    <row r="16" spans="1:25" ht="15" x14ac:dyDescent="0.25">
      <c r="C16" s="49"/>
      <c r="D16" s="55"/>
      <c r="E16" s="46"/>
      <c r="F16" s="46"/>
      <c r="G16" s="46"/>
      <c r="H16" s="56">
        <v>1</v>
      </c>
      <c r="I16" s="57">
        <f>IF(credito="Francesa",-PMT(D26/$D$22,$S$15,D24,0),IF(credito="Alemana",J16+K16))</f>
        <v>258.77390100680589</v>
      </c>
      <c r="J16" s="105">
        <f>L15*$D$26/$D$22</f>
        <v>90.625</v>
      </c>
      <c r="K16" s="105">
        <f>IF(H16&lt;=$S$15,IF(credito="Francesa",I16-J16,IF(credito="Alemana",L15/$S$15))," ")</f>
        <v>168.14890100680589</v>
      </c>
      <c r="L16" s="57">
        <f>IF(H16&lt;=$S$15,L15-K16," ")</f>
        <v>4831.8510989931938</v>
      </c>
      <c r="M16" s="51"/>
      <c r="N16" s="57">
        <f>IF(H16&lt;=$S$15,-I16," ")</f>
        <v>-258.77390100680589</v>
      </c>
    </row>
    <row r="17" spans="1:25" ht="30" x14ac:dyDescent="0.25">
      <c r="C17" s="80" t="s">
        <v>48</v>
      </c>
      <c r="D17" s="81" t="s">
        <v>53</v>
      </c>
      <c r="E17" s="46"/>
      <c r="F17" s="46"/>
      <c r="G17" s="46"/>
      <c r="H17" s="50">
        <f>IF($H16&gt;=$S$15," ",H16+1)</f>
        <v>2</v>
      </c>
      <c r="I17" s="51">
        <f t="shared" ref="I17:I80" si="0">IF(H16&lt;=$S$15,IF(credito="Francesa",IF(H17&lt;=$S$15,$I16,0),IF(credito="Alemana",IF(H17&lt;=$S$15,J17+K17,0))),"")</f>
        <v>258.77390100680589</v>
      </c>
      <c r="J17" s="106">
        <f>IF(H17&lt;=$S$15,L16*$D$26/$D$22," ")</f>
        <v>87.577301169251641</v>
      </c>
      <c r="K17" s="106">
        <f t="shared" ref="K17:K80" si="1">IF(H17&lt;=$S$15,IF(credito="Francesa",I17-J17,IF(credito="Alemana",IF(H17&lt;=$S$15,$K16,0)))," ")</f>
        <v>171.19659983755423</v>
      </c>
      <c r="L17" s="51">
        <f t="shared" ref="L17:L80" si="2">IF(H17&lt;=$S$15,L16-K17," ")</f>
        <v>4660.6544991556393</v>
      </c>
      <c r="M17" s="51"/>
      <c r="N17" s="51">
        <f t="shared" ref="N17:N80" si="3">IF(H17&lt;=$S$15,-I17," ")</f>
        <v>-258.77390100680589</v>
      </c>
    </row>
    <row r="18" spans="1:25" ht="15" x14ac:dyDescent="0.25">
      <c r="C18" s="58"/>
      <c r="D18" s="55"/>
      <c r="E18" s="46"/>
      <c r="F18" s="46"/>
      <c r="G18" s="46"/>
      <c r="H18" s="50">
        <f t="shared" ref="H18:H81" si="4">IF($H17&gt;=$S$15," ",H17+1)</f>
        <v>3</v>
      </c>
      <c r="I18" s="51">
        <f t="shared" si="0"/>
        <v>258.77390100680589</v>
      </c>
      <c r="J18" s="106">
        <f t="shared" ref="J18:J81" si="5">IF(H18&lt;=$S$15,L17*$D$26/$D$22," ")</f>
        <v>84.474362797195965</v>
      </c>
      <c r="K18" s="106">
        <f t="shared" si="1"/>
        <v>174.29953820960992</v>
      </c>
      <c r="L18" s="51">
        <f t="shared" si="2"/>
        <v>4486.3549609460297</v>
      </c>
      <c r="M18" s="51"/>
      <c r="N18" s="51">
        <f t="shared" si="3"/>
        <v>-258.77390100680589</v>
      </c>
      <c r="Q18" s="163" t="s">
        <v>86</v>
      </c>
      <c r="R18" s="163"/>
      <c r="S18" s="163"/>
    </row>
    <row r="19" spans="1:25" ht="15" x14ac:dyDescent="0.25">
      <c r="C19" s="80" t="s">
        <v>75</v>
      </c>
      <c r="D19" s="81" t="s">
        <v>63</v>
      </c>
      <c r="E19" s="46"/>
      <c r="F19" s="46"/>
      <c r="G19" s="46"/>
      <c r="H19" s="50">
        <f t="shared" si="4"/>
        <v>4</v>
      </c>
      <c r="I19" s="51">
        <f t="shared" si="0"/>
        <v>258.77390100680589</v>
      </c>
      <c r="J19" s="106">
        <f t="shared" si="5"/>
        <v>81.315183667146783</v>
      </c>
      <c r="K19" s="106">
        <f t="shared" si="1"/>
        <v>177.4587173396591</v>
      </c>
      <c r="L19" s="51">
        <f t="shared" si="2"/>
        <v>4308.8962436063703</v>
      </c>
      <c r="M19" s="51"/>
      <c r="N19" s="51">
        <f t="shared" si="3"/>
        <v>-258.77390100680589</v>
      </c>
      <c r="P19" s="62"/>
      <c r="Q19" s="163"/>
      <c r="R19" s="163"/>
      <c r="S19" s="163"/>
    </row>
    <row r="20" spans="1:25" s="62" customFormat="1" ht="15" x14ac:dyDescent="0.25">
      <c r="A20" s="41"/>
      <c r="B20" s="41"/>
      <c r="C20" s="58"/>
      <c r="D20" s="55"/>
      <c r="E20" s="46"/>
      <c r="F20" s="46"/>
      <c r="G20" s="46"/>
      <c r="H20" s="50">
        <f t="shared" si="4"/>
        <v>5</v>
      </c>
      <c r="I20" s="51">
        <f t="shared" si="0"/>
        <v>258.77390100680589</v>
      </c>
      <c r="J20" s="106">
        <f t="shared" si="5"/>
        <v>78.098744415365459</v>
      </c>
      <c r="K20" s="106">
        <f t="shared" si="1"/>
        <v>180.67515659144044</v>
      </c>
      <c r="L20" s="51">
        <f t="shared" si="2"/>
        <v>4128.2210870149302</v>
      </c>
      <c r="M20" s="51"/>
      <c r="N20" s="51">
        <f t="shared" si="3"/>
        <v>-258.77390100680589</v>
      </c>
      <c r="O20" s="41"/>
      <c r="P20" s="41"/>
      <c r="Q20" s="41"/>
    </row>
    <row r="21" spans="1:25" ht="15" x14ac:dyDescent="0.25">
      <c r="C21" s="80" t="s">
        <v>1</v>
      </c>
      <c r="D21" s="81" t="s">
        <v>77</v>
      </c>
      <c r="E21" s="46"/>
      <c r="F21" s="46"/>
      <c r="G21" s="46"/>
      <c r="H21" s="50">
        <f t="shared" si="4"/>
        <v>6</v>
      </c>
      <c r="I21" s="51">
        <f t="shared" si="0"/>
        <v>258.77390100680589</v>
      </c>
      <c r="J21" s="106">
        <f t="shared" si="5"/>
        <v>74.824007202145609</v>
      </c>
      <c r="K21" s="106">
        <f t="shared" si="1"/>
        <v>183.94989380466029</v>
      </c>
      <c r="L21" s="51">
        <f t="shared" si="2"/>
        <v>3944.2711932102698</v>
      </c>
      <c r="M21" s="51"/>
      <c r="N21" s="51">
        <f t="shared" si="3"/>
        <v>-258.77390100680589</v>
      </c>
      <c r="P21" s="67"/>
      <c r="Q21" s="67"/>
    </row>
    <row r="22" spans="1:25" s="67" customFormat="1" ht="15" x14ac:dyDescent="0.25">
      <c r="A22" s="41"/>
      <c r="B22" s="41"/>
      <c r="C22" s="80"/>
      <c r="D22" s="81">
        <f>IF(D21="Anual",1,IF(D21="Semestral",2,IF(D21="Cuatrimestral",3,IF(D21="Trimestral",4,IF(D21="Bimensual",6,IF(D21="Mensual",12,IF(D21="Quincenal",24)))))))</f>
        <v>12</v>
      </c>
      <c r="E22" s="46"/>
      <c r="F22" s="46"/>
      <c r="G22" s="46"/>
      <c r="H22" s="50">
        <f t="shared" si="4"/>
        <v>7</v>
      </c>
      <c r="I22" s="51">
        <f t="shared" si="0"/>
        <v>258.77390100680589</v>
      </c>
      <c r="J22" s="106">
        <f t="shared" si="5"/>
        <v>71.489915376936139</v>
      </c>
      <c r="K22" s="106">
        <f t="shared" si="1"/>
        <v>187.28398562986973</v>
      </c>
      <c r="L22" s="51">
        <f t="shared" si="2"/>
        <v>3756.9872075804001</v>
      </c>
      <c r="M22" s="51"/>
      <c r="N22" s="51">
        <f t="shared" si="3"/>
        <v>-258.77390100680589</v>
      </c>
      <c r="O22" s="41"/>
    </row>
    <row r="23" spans="1:25" s="67" customFormat="1" ht="15" x14ac:dyDescent="0.25">
      <c r="A23" s="41"/>
      <c r="B23" s="41"/>
      <c r="C23" s="58"/>
      <c r="D23" s="55"/>
      <c r="E23" s="46"/>
      <c r="F23" s="46"/>
      <c r="G23" s="46"/>
      <c r="H23" s="50">
        <f t="shared" si="4"/>
        <v>8</v>
      </c>
      <c r="I23" s="51">
        <f t="shared" si="0"/>
        <v>258.77390100680589</v>
      </c>
      <c r="J23" s="106">
        <f t="shared" si="5"/>
        <v>68.095393137394751</v>
      </c>
      <c r="K23" s="106">
        <f t="shared" si="1"/>
        <v>190.67850786941113</v>
      </c>
      <c r="L23" s="51">
        <f t="shared" si="2"/>
        <v>3566.308699710989</v>
      </c>
      <c r="M23" s="51"/>
      <c r="N23" s="51">
        <f t="shared" si="3"/>
        <v>-258.77390100680589</v>
      </c>
      <c r="O23" s="41"/>
    </row>
    <row r="24" spans="1:25" s="67" customFormat="1" ht="15" x14ac:dyDescent="0.25">
      <c r="A24" s="41"/>
      <c r="B24" s="41"/>
      <c r="C24" s="96" t="s">
        <v>26</v>
      </c>
      <c r="D24" s="97">
        <v>5000</v>
      </c>
      <c r="E24" s="46"/>
      <c r="F24" s="46"/>
      <c r="G24" s="46"/>
      <c r="H24" s="50">
        <f t="shared" si="4"/>
        <v>9</v>
      </c>
      <c r="I24" s="51">
        <f t="shared" si="0"/>
        <v>258.77390100680589</v>
      </c>
      <c r="J24" s="106">
        <f t="shared" si="5"/>
        <v>64.639345182261678</v>
      </c>
      <c r="K24" s="106">
        <f t="shared" si="1"/>
        <v>194.13455582454421</v>
      </c>
      <c r="L24" s="51">
        <f t="shared" si="2"/>
        <v>3372.1741438864447</v>
      </c>
      <c r="M24" s="51"/>
      <c r="N24" s="51">
        <f t="shared" si="3"/>
        <v>-258.77390100680589</v>
      </c>
      <c r="O24" s="41"/>
      <c r="P24" s="41"/>
      <c r="Q24" s="41"/>
    </row>
    <row r="25" spans="1:25" ht="15" x14ac:dyDescent="0.25">
      <c r="C25" s="98"/>
      <c r="D25" s="99"/>
      <c r="E25" s="46"/>
      <c r="F25" s="46"/>
      <c r="G25" s="46"/>
      <c r="H25" s="50">
        <f t="shared" si="4"/>
        <v>10</v>
      </c>
      <c r="I25" s="51">
        <f t="shared" si="0"/>
        <v>258.77390100680589</v>
      </c>
      <c r="J25" s="106">
        <f t="shared" si="5"/>
        <v>61.120656357941812</v>
      </c>
      <c r="K25" s="106">
        <f t="shared" si="1"/>
        <v>197.65324464886407</v>
      </c>
      <c r="L25" s="51">
        <f t="shared" si="2"/>
        <v>3174.5208992375806</v>
      </c>
      <c r="M25" s="51"/>
      <c r="N25" s="51">
        <f t="shared" si="3"/>
        <v>-258.77390100680589</v>
      </c>
      <c r="Q25" s="164" t="s">
        <v>87</v>
      </c>
      <c r="R25" s="164"/>
    </row>
    <row r="26" spans="1:25" ht="15" x14ac:dyDescent="0.25">
      <c r="C26" s="100" t="s">
        <v>19</v>
      </c>
      <c r="D26" s="101">
        <v>0.2175</v>
      </c>
      <c r="E26" s="46"/>
      <c r="F26" s="46"/>
      <c r="G26" s="46"/>
      <c r="H26" s="50">
        <f t="shared" si="4"/>
        <v>11</v>
      </c>
      <c r="I26" s="51">
        <f t="shared" si="0"/>
        <v>258.77390100680589</v>
      </c>
      <c r="J26" s="106">
        <f t="shared" si="5"/>
        <v>57.538191298681149</v>
      </c>
      <c r="K26" s="106">
        <f t="shared" si="1"/>
        <v>201.23570970812474</v>
      </c>
      <c r="L26" s="51">
        <f t="shared" si="2"/>
        <v>2973.2851895294557</v>
      </c>
      <c r="M26" s="51"/>
      <c r="N26" s="51">
        <f t="shared" si="3"/>
        <v>-258.77390100680589</v>
      </c>
      <c r="Q26" s="164"/>
      <c r="R26" s="164"/>
    </row>
    <row r="27" spans="1:25" ht="15" x14ac:dyDescent="0.25">
      <c r="C27" s="60"/>
      <c r="D27" s="61"/>
      <c r="E27" s="46"/>
      <c r="F27" s="46"/>
      <c r="G27" s="46"/>
      <c r="H27" s="50">
        <f t="shared" si="4"/>
        <v>12</v>
      </c>
      <c r="I27" s="51">
        <f t="shared" si="0"/>
        <v>258.77390100680589</v>
      </c>
      <c r="J27" s="106">
        <f t="shared" si="5"/>
        <v>53.890794060221388</v>
      </c>
      <c r="K27" s="106">
        <f t="shared" si="1"/>
        <v>204.88310694658449</v>
      </c>
      <c r="L27" s="51">
        <f t="shared" si="2"/>
        <v>2768.4020825828711</v>
      </c>
      <c r="M27" s="51"/>
      <c r="N27" s="51">
        <f t="shared" si="3"/>
        <v>-258.77390100680589</v>
      </c>
    </row>
    <row r="28" spans="1:25" ht="15" x14ac:dyDescent="0.25">
      <c r="A28" s="62"/>
      <c r="B28" s="62"/>
      <c r="C28" s="59" t="s">
        <v>47</v>
      </c>
      <c r="D28" s="84">
        <v>2</v>
      </c>
      <c r="E28" s="65"/>
      <c r="F28" s="65"/>
      <c r="G28" s="65"/>
      <c r="H28" s="50">
        <f t="shared" si="4"/>
        <v>13</v>
      </c>
      <c r="I28" s="51">
        <f t="shared" si="0"/>
        <v>258.77390100680589</v>
      </c>
      <c r="J28" s="106">
        <f t="shared" si="5"/>
        <v>50.177287746814535</v>
      </c>
      <c r="K28" s="106">
        <f t="shared" si="1"/>
        <v>208.59661325999136</v>
      </c>
      <c r="L28" s="51">
        <f t="shared" si="2"/>
        <v>2559.8054693228796</v>
      </c>
      <c r="M28" s="51"/>
      <c r="N28" s="51">
        <f t="shared" si="3"/>
        <v>-258.77390100680589</v>
      </c>
      <c r="U28" s="165" t="s">
        <v>88</v>
      </c>
      <c r="V28" s="165"/>
    </row>
    <row r="29" spans="1:25" ht="15.75" thickBot="1" x14ac:dyDescent="0.3">
      <c r="C29" s="60" t="s">
        <v>25</v>
      </c>
      <c r="D29" s="66">
        <f>+D28*360</f>
        <v>720</v>
      </c>
      <c r="E29" s="46"/>
      <c r="F29" s="46"/>
      <c r="G29" s="46"/>
      <c r="H29" s="50">
        <f t="shared" si="4"/>
        <v>14</v>
      </c>
      <c r="I29" s="51">
        <f t="shared" si="0"/>
        <v>258.77390100680589</v>
      </c>
      <c r="J29" s="106">
        <f t="shared" si="5"/>
        <v>46.396474131477191</v>
      </c>
      <c r="K29" s="106">
        <f t="shared" si="1"/>
        <v>212.37742687532869</v>
      </c>
      <c r="L29" s="51">
        <f t="shared" si="2"/>
        <v>2347.428042447551</v>
      </c>
      <c r="M29" s="51"/>
      <c r="N29" s="51">
        <f t="shared" si="3"/>
        <v>-258.77390100680589</v>
      </c>
      <c r="U29" s="165"/>
      <c r="V29" s="165"/>
    </row>
    <row r="30" spans="1:25" ht="15" customHeight="1" x14ac:dyDescent="0.25">
      <c r="A30" s="67"/>
      <c r="B30" s="67"/>
      <c r="C30" s="60" t="s">
        <v>57</v>
      </c>
      <c r="D30" s="66">
        <f>IF(D21="Anual",360,IF(D21="Semestral",180,IF(D21="Cuatrimestral",120,IF(D21="Trimestral",90,IF(D21="Bimensual",60,IF(D21="Mensual",30,IF(D21="Quincenal",15)))))))</f>
        <v>30</v>
      </c>
      <c r="E30" s="95"/>
      <c r="F30" s="68"/>
      <c r="G30" s="68"/>
      <c r="H30" s="50">
        <f t="shared" si="4"/>
        <v>15</v>
      </c>
      <c r="I30" s="51">
        <f t="shared" si="0"/>
        <v>258.77390100680589</v>
      </c>
      <c r="J30" s="106">
        <f t="shared" si="5"/>
        <v>42.547133269361858</v>
      </c>
      <c r="K30" s="106">
        <f t="shared" si="1"/>
        <v>216.22676773744402</v>
      </c>
      <c r="L30" s="51">
        <f t="shared" si="2"/>
        <v>2131.2012747101071</v>
      </c>
      <c r="M30" s="51"/>
      <c r="N30" s="51">
        <f t="shared" si="3"/>
        <v>-258.77390100680589</v>
      </c>
      <c r="U30" s="188" t="s">
        <v>11</v>
      </c>
      <c r="V30" s="189"/>
      <c r="X30" s="179" t="s">
        <v>11</v>
      </c>
      <c r="Y30" s="182">
        <f>IRR(N15:N315,)</f>
        <v>1.8124999999771907E-2</v>
      </c>
    </row>
    <row r="31" spans="1:25" ht="15.75" customHeight="1" x14ac:dyDescent="0.25">
      <c r="A31" s="67"/>
      <c r="B31" s="67"/>
      <c r="C31" s="85" t="s">
        <v>58</v>
      </c>
      <c r="D31" s="86">
        <f>IF(D21="Anual",D28*1,IF(D21="Semestral",D28*2,IF(D21="Cuatrimestral",D28*3,IF(D21="Trimestral",D28*4,IF(D21="Bimensual",D28*6,IF(D21="Mensual",D28*12,IF(D21="Quincenal",D28*24)))))))</f>
        <v>24</v>
      </c>
      <c r="E31" s="68"/>
      <c r="F31" s="68"/>
      <c r="G31" s="68"/>
      <c r="H31" s="50">
        <f t="shared" si="4"/>
        <v>16</v>
      </c>
      <c r="I31" s="51">
        <f t="shared" si="0"/>
        <v>258.77390100680589</v>
      </c>
      <c r="J31" s="106">
        <f t="shared" si="5"/>
        <v>38.628023104120693</v>
      </c>
      <c r="K31" s="106">
        <f t="shared" si="1"/>
        <v>220.14587790268519</v>
      </c>
      <c r="L31" s="51">
        <f t="shared" si="2"/>
        <v>1911.0553968074219</v>
      </c>
      <c r="M31" s="51"/>
      <c r="N31" s="51">
        <f t="shared" si="3"/>
        <v>-258.77390100680589</v>
      </c>
      <c r="U31" s="166" t="s">
        <v>89</v>
      </c>
      <c r="V31" s="167"/>
      <c r="X31" s="180"/>
      <c r="Y31" s="183"/>
    </row>
    <row r="32" spans="1:25" ht="15.75" thickBot="1" x14ac:dyDescent="0.3">
      <c r="A32" s="67"/>
      <c r="B32" s="67"/>
      <c r="E32" s="68"/>
      <c r="F32" s="68"/>
      <c r="G32" s="68"/>
      <c r="H32" s="50">
        <f t="shared" si="4"/>
        <v>17</v>
      </c>
      <c r="I32" s="51">
        <f t="shared" si="0"/>
        <v>258.77390100680589</v>
      </c>
      <c r="J32" s="106">
        <f t="shared" si="5"/>
        <v>34.63787906713452</v>
      </c>
      <c r="K32" s="106">
        <f t="shared" si="1"/>
        <v>224.13602193967137</v>
      </c>
      <c r="L32" s="51">
        <f t="shared" si="2"/>
        <v>1686.9193748677505</v>
      </c>
      <c r="M32" s="51"/>
      <c r="N32" s="51">
        <f t="shared" si="3"/>
        <v>-258.77390100680589</v>
      </c>
      <c r="U32" s="168"/>
      <c r="V32" s="169"/>
      <c r="X32" s="181"/>
      <c r="Y32" s="184"/>
    </row>
    <row r="33" spans="2:25" ht="15.75" thickBot="1" x14ac:dyDescent="0.3">
      <c r="C33" s="63" t="s">
        <v>17</v>
      </c>
      <c r="D33" s="64" t="s">
        <v>18</v>
      </c>
      <c r="E33" s="82"/>
      <c r="F33" s="46"/>
      <c r="G33" s="46"/>
      <c r="H33" s="50">
        <f t="shared" si="4"/>
        <v>18</v>
      </c>
      <c r="I33" s="51">
        <f t="shared" si="0"/>
        <v>258.77390100680589</v>
      </c>
      <c r="J33" s="106">
        <f t="shared" si="5"/>
        <v>30.575413669477978</v>
      </c>
      <c r="K33" s="106">
        <f t="shared" si="1"/>
        <v>228.19848733732792</v>
      </c>
      <c r="L33" s="51">
        <f t="shared" si="2"/>
        <v>1458.7208875304227</v>
      </c>
      <c r="M33" s="51"/>
      <c r="N33" s="51">
        <f t="shared" si="3"/>
        <v>-258.77390100680589</v>
      </c>
      <c r="Y33" s="128"/>
    </row>
    <row r="34" spans="2:25" ht="15" customHeight="1" x14ac:dyDescent="0.25">
      <c r="C34" s="69"/>
      <c r="D34" s="70"/>
      <c r="F34" s="46"/>
      <c r="G34" s="46"/>
      <c r="H34" s="50">
        <f t="shared" si="4"/>
        <v>19</v>
      </c>
      <c r="I34" s="51">
        <f t="shared" si="0"/>
        <v>258.77390100680589</v>
      </c>
      <c r="J34" s="106">
        <f t="shared" si="5"/>
        <v>26.439316086488912</v>
      </c>
      <c r="K34" s="106">
        <f t="shared" si="1"/>
        <v>232.33458492031698</v>
      </c>
      <c r="L34" s="51">
        <f t="shared" si="2"/>
        <v>1226.3863026101058</v>
      </c>
      <c r="M34" s="51"/>
      <c r="N34" s="51">
        <f t="shared" si="3"/>
        <v>-258.77390100680589</v>
      </c>
      <c r="U34" s="188" t="s">
        <v>12</v>
      </c>
      <c r="V34" s="189"/>
      <c r="X34" s="179" t="s">
        <v>12</v>
      </c>
      <c r="Y34" s="182">
        <f>+Y30*360/$D$30</f>
        <v>0.21749999999726288</v>
      </c>
    </row>
    <row r="35" spans="2:25" ht="15" customHeight="1" x14ac:dyDescent="0.25">
      <c r="E35" s="46"/>
      <c r="F35" s="46"/>
      <c r="G35" s="46"/>
      <c r="H35" s="50">
        <f t="shared" si="4"/>
        <v>20</v>
      </c>
      <c r="I35" s="51">
        <f t="shared" si="0"/>
        <v>258.77390100680589</v>
      </c>
      <c r="J35" s="106">
        <f t="shared" si="5"/>
        <v>22.228251734808168</v>
      </c>
      <c r="K35" s="106">
        <f t="shared" si="1"/>
        <v>236.54564927199772</v>
      </c>
      <c r="L35" s="51">
        <f t="shared" si="2"/>
        <v>989.84065333810804</v>
      </c>
      <c r="M35" s="51"/>
      <c r="N35" s="51">
        <f t="shared" si="3"/>
        <v>-258.77390100680589</v>
      </c>
      <c r="U35" s="166" t="s">
        <v>90</v>
      </c>
      <c r="V35" s="167"/>
      <c r="X35" s="180"/>
      <c r="Y35" s="183"/>
    </row>
    <row r="36" spans="2:25" ht="15.75" customHeight="1" thickBot="1" x14ac:dyDescent="0.3">
      <c r="C36" s="88" t="s">
        <v>13</v>
      </c>
      <c r="D36" s="126">
        <f>+Y34</f>
        <v>0.21749999999726288</v>
      </c>
      <c r="E36" s="174" t="str">
        <f>IF(D37&gt;D38,"Excede la Máxima, considerar bajar la tasa nominal", "Esta dentro del límite")</f>
        <v>Esta dentro del límite</v>
      </c>
      <c r="F36" s="175"/>
      <c r="G36" s="46"/>
      <c r="H36" s="50">
        <f t="shared" si="4"/>
        <v>21</v>
      </c>
      <c r="I36" s="51">
        <f t="shared" si="0"/>
        <v>258.77390100680589</v>
      </c>
      <c r="J36" s="106">
        <f t="shared" si="5"/>
        <v>17.940861841753208</v>
      </c>
      <c r="K36" s="106">
        <f t="shared" si="1"/>
        <v>240.83303916505267</v>
      </c>
      <c r="L36" s="51">
        <f t="shared" si="2"/>
        <v>749.00761417305534</v>
      </c>
      <c r="M36" s="51"/>
      <c r="N36" s="51">
        <f t="shared" si="3"/>
        <v>-258.77390100680589</v>
      </c>
      <c r="U36" s="168"/>
      <c r="V36" s="169"/>
      <c r="X36" s="181"/>
      <c r="Y36" s="184"/>
    </row>
    <row r="37" spans="2:25" ht="19.5" thickBot="1" x14ac:dyDescent="0.3">
      <c r="C37" s="89" t="s">
        <v>14</v>
      </c>
      <c r="D37" s="127">
        <f>+T63</f>
        <v>0.24054699144889136</v>
      </c>
      <c r="E37" s="176"/>
      <c r="F37" s="177"/>
      <c r="G37" s="71"/>
      <c r="H37" s="50">
        <f t="shared" si="4"/>
        <v>22</v>
      </c>
      <c r="I37" s="51">
        <f t="shared" si="0"/>
        <v>258.77390100680589</v>
      </c>
      <c r="J37" s="106">
        <f t="shared" si="5"/>
        <v>13.575763006886627</v>
      </c>
      <c r="K37" s="106">
        <f t="shared" si="1"/>
        <v>245.19813799991925</v>
      </c>
      <c r="L37" s="51">
        <f t="shared" si="2"/>
        <v>503.80947617313609</v>
      </c>
      <c r="M37" s="51"/>
      <c r="N37" s="51">
        <f t="shared" si="3"/>
        <v>-258.77390100680589</v>
      </c>
      <c r="U37" s="108"/>
      <c r="V37" s="108"/>
      <c r="X37" s="107"/>
      <c r="Y37" s="109"/>
    </row>
    <row r="38" spans="2:25" ht="30.75" thickBot="1" x14ac:dyDescent="0.3">
      <c r="C38" s="72" t="s">
        <v>55</v>
      </c>
      <c r="D38" s="73">
        <f>IF(D17="Productivo Corporativo",9.33%,IF(D17="Productivo Empresarial",10.21%,IF(D17="Productivo PYMES",11.83%,IF(D17="Comercial Ordinario",11.83%,IF(D17="Comercial Prioritario Corporativo",9.33%,IF(D17="Comercial Prioritario Empresarial",10.21%,IF(D17="Comercial Prioritario PYMES",11.83%,IF(D17="Consumo Ordinario",17.3%,IF(D17="Consumo Prioritario",17.3%,IF(D17="Educativo",9.5%,IF(D17="Vivienda de Interés Público",4.99%,IF(D17="Inmobiliario",11.33%,IF(D17="Microcrédito Minorista",30.5%,IF(D17="Microcrédito Acumulación Simple",27.5%,IF(D17="Microcrédito Acumulación Ampliada",25.5%)))))))))))))))</f>
        <v>0.255</v>
      </c>
      <c r="E38" s="46"/>
      <c r="F38" s="46"/>
      <c r="G38" s="46"/>
      <c r="H38" s="50">
        <f t="shared" si="4"/>
        <v>23</v>
      </c>
      <c r="I38" s="51">
        <f t="shared" si="0"/>
        <v>258.77390100680589</v>
      </c>
      <c r="J38" s="106">
        <f t="shared" si="5"/>
        <v>9.1315467556380927</v>
      </c>
      <c r="K38" s="106">
        <f t="shared" si="1"/>
        <v>249.6423542511678</v>
      </c>
      <c r="L38" s="51">
        <f t="shared" si="2"/>
        <v>254.16712192196829</v>
      </c>
      <c r="M38" s="51"/>
      <c r="N38" s="51">
        <f t="shared" si="3"/>
        <v>-258.77390100680589</v>
      </c>
      <c r="Q38" s="151" t="s">
        <v>92</v>
      </c>
      <c r="R38" s="151"/>
      <c r="S38" s="151"/>
      <c r="T38" s="151"/>
      <c r="U38" s="151"/>
      <c r="V38" s="151"/>
      <c r="W38" s="151"/>
      <c r="X38" s="151"/>
      <c r="Y38" s="151"/>
    </row>
    <row r="39" spans="2:25" ht="18.75" customHeight="1" x14ac:dyDescent="0.25">
      <c r="C39" s="74" t="s">
        <v>37</v>
      </c>
      <c r="D39" s="46"/>
      <c r="E39" s="46"/>
      <c r="F39" s="46"/>
      <c r="G39" s="87"/>
      <c r="H39" s="50">
        <f t="shared" si="4"/>
        <v>24</v>
      </c>
      <c r="I39" s="51">
        <f t="shared" si="0"/>
        <v>258.77390100680589</v>
      </c>
      <c r="J39" s="106">
        <f t="shared" si="5"/>
        <v>4.6067790848356749</v>
      </c>
      <c r="K39" s="106">
        <f t="shared" si="1"/>
        <v>254.16712192197022</v>
      </c>
      <c r="L39" s="51">
        <f t="shared" si="2"/>
        <v>-1.9326762412674725E-12</v>
      </c>
      <c r="M39" s="51"/>
      <c r="N39" s="51">
        <f t="shared" si="3"/>
        <v>-258.77390100680589</v>
      </c>
      <c r="Q39" s="152"/>
      <c r="R39" s="152"/>
      <c r="S39" s="152"/>
      <c r="T39" s="152"/>
      <c r="U39" s="152"/>
      <c r="V39" s="152"/>
      <c r="W39" s="152"/>
      <c r="X39" s="152"/>
      <c r="Y39" s="152"/>
    </row>
    <row r="40" spans="2:25" ht="18.75" x14ac:dyDescent="0.25">
      <c r="G40" s="87"/>
      <c r="H40" s="50" t="str">
        <f t="shared" si="4"/>
        <v xml:space="preserve"> </v>
      </c>
      <c r="I40" s="51">
        <f t="shared" si="0"/>
        <v>0</v>
      </c>
      <c r="J40" s="106" t="str">
        <f t="shared" si="5"/>
        <v xml:space="preserve"> </v>
      </c>
      <c r="K40" s="106" t="str">
        <f t="shared" si="1"/>
        <v xml:space="preserve"> </v>
      </c>
      <c r="L40" s="51" t="str">
        <f t="shared" si="2"/>
        <v xml:space="preserve"> </v>
      </c>
      <c r="M40" s="51"/>
      <c r="N40" s="51" t="str">
        <f t="shared" si="3"/>
        <v xml:space="preserve"> </v>
      </c>
      <c r="U40" s="108"/>
      <c r="V40" s="108"/>
      <c r="X40" s="107"/>
      <c r="Y40" s="109"/>
    </row>
    <row r="41" spans="2:25" ht="18.75" x14ac:dyDescent="0.25">
      <c r="G41" s="46"/>
      <c r="H41" s="50" t="str">
        <f t="shared" si="4"/>
        <v xml:space="preserve"> </v>
      </c>
      <c r="I41" s="51" t="str">
        <f t="shared" si="0"/>
        <v/>
      </c>
      <c r="J41" s="106" t="str">
        <f t="shared" si="5"/>
        <v xml:space="preserve"> </v>
      </c>
      <c r="K41" s="106" t="str">
        <f t="shared" si="1"/>
        <v xml:space="preserve"> </v>
      </c>
      <c r="L41" s="51" t="str">
        <f t="shared" si="2"/>
        <v xml:space="preserve"> </v>
      </c>
      <c r="M41" s="51"/>
      <c r="N41" s="51" t="str">
        <f t="shared" si="3"/>
        <v xml:space="preserve"> </v>
      </c>
      <c r="Q41" s="163" t="s">
        <v>93</v>
      </c>
      <c r="R41" s="163"/>
      <c r="S41" s="163"/>
      <c r="U41" s="108"/>
      <c r="V41" s="108"/>
      <c r="X41" s="107"/>
      <c r="Y41" s="109"/>
    </row>
    <row r="42" spans="2:25" ht="18.75" x14ac:dyDescent="0.25">
      <c r="G42" s="46"/>
      <c r="H42" s="50" t="str">
        <f t="shared" si="4"/>
        <v xml:space="preserve"> </v>
      </c>
      <c r="I42" s="51" t="str">
        <f t="shared" si="0"/>
        <v/>
      </c>
      <c r="J42" s="106" t="str">
        <f t="shared" si="5"/>
        <v xml:space="preserve"> </v>
      </c>
      <c r="K42" s="106" t="str">
        <f t="shared" si="1"/>
        <v xml:space="preserve"> </v>
      </c>
      <c r="L42" s="51" t="str">
        <f t="shared" si="2"/>
        <v xml:space="preserve"> </v>
      </c>
      <c r="M42" s="51"/>
      <c r="N42" s="51" t="str">
        <f t="shared" si="3"/>
        <v xml:space="preserve"> </v>
      </c>
      <c r="Q42" s="163"/>
      <c r="R42" s="163"/>
      <c r="S42" s="163"/>
      <c r="U42" s="108"/>
      <c r="V42" s="108"/>
      <c r="X42" s="107"/>
      <c r="Y42" s="109"/>
    </row>
    <row r="43" spans="2:25" ht="18.75" x14ac:dyDescent="0.25">
      <c r="G43" s="46"/>
      <c r="H43" s="50" t="str">
        <f t="shared" si="4"/>
        <v xml:space="preserve"> </v>
      </c>
      <c r="I43" s="51" t="str">
        <f t="shared" si="0"/>
        <v/>
      </c>
      <c r="J43" s="106" t="str">
        <f t="shared" si="5"/>
        <v xml:space="preserve"> </v>
      </c>
      <c r="K43" s="106" t="str">
        <f t="shared" si="1"/>
        <v xml:space="preserve"> </v>
      </c>
      <c r="L43" s="51" t="str">
        <f t="shared" si="2"/>
        <v xml:space="preserve"> </v>
      </c>
      <c r="M43" s="51"/>
      <c r="N43" s="51" t="str">
        <f t="shared" si="3"/>
        <v xml:space="preserve"> </v>
      </c>
      <c r="U43" s="108"/>
      <c r="V43" s="108"/>
      <c r="X43" s="107"/>
      <c r="Y43" s="109"/>
    </row>
    <row r="44" spans="2:25" ht="18.75" x14ac:dyDescent="0.25">
      <c r="C44" s="93"/>
      <c r="G44" s="46"/>
      <c r="H44" s="50" t="str">
        <f t="shared" si="4"/>
        <v xml:space="preserve"> </v>
      </c>
      <c r="I44" s="51" t="str">
        <f t="shared" si="0"/>
        <v/>
      </c>
      <c r="J44" s="106" t="str">
        <f t="shared" si="5"/>
        <v xml:space="preserve"> </v>
      </c>
      <c r="K44" s="106" t="str">
        <f t="shared" si="1"/>
        <v xml:space="preserve"> </v>
      </c>
      <c r="L44" s="51" t="str">
        <f t="shared" si="2"/>
        <v xml:space="preserve"> </v>
      </c>
      <c r="M44" s="51"/>
      <c r="N44" s="51" t="str">
        <f t="shared" si="3"/>
        <v xml:space="preserve"> </v>
      </c>
      <c r="U44" s="108"/>
      <c r="V44" s="108"/>
      <c r="X44" s="107"/>
      <c r="Y44" s="109"/>
    </row>
    <row r="45" spans="2:25" ht="18.75" x14ac:dyDescent="0.25">
      <c r="B45" s="75"/>
      <c r="C45" s="92"/>
      <c r="D45" s="77"/>
      <c r="E45" s="76"/>
      <c r="F45" s="46"/>
      <c r="G45" s="46"/>
      <c r="H45" s="50" t="str">
        <f t="shared" si="4"/>
        <v xml:space="preserve"> </v>
      </c>
      <c r="I45" s="51" t="str">
        <f t="shared" si="0"/>
        <v/>
      </c>
      <c r="J45" s="106" t="str">
        <f t="shared" si="5"/>
        <v xml:space="preserve"> </v>
      </c>
      <c r="K45" s="106" t="str">
        <f t="shared" si="1"/>
        <v xml:space="preserve"> </v>
      </c>
      <c r="L45" s="51" t="str">
        <f t="shared" si="2"/>
        <v xml:space="preserve"> </v>
      </c>
      <c r="M45" s="51"/>
      <c r="N45" s="51" t="str">
        <f t="shared" si="3"/>
        <v xml:space="preserve"> </v>
      </c>
      <c r="U45" s="108"/>
      <c r="V45" s="108"/>
      <c r="X45" s="107"/>
      <c r="Y45" s="109"/>
    </row>
    <row r="46" spans="2:25" ht="18.75" x14ac:dyDescent="0.25">
      <c r="B46" s="75"/>
      <c r="C46" s="92" t="s">
        <v>49</v>
      </c>
      <c r="D46" s="76"/>
      <c r="E46" s="76"/>
      <c r="F46" s="46"/>
      <c r="G46" s="46"/>
      <c r="H46" s="50" t="str">
        <f t="shared" si="4"/>
        <v xml:space="preserve"> </v>
      </c>
      <c r="I46" s="51" t="str">
        <f t="shared" si="0"/>
        <v/>
      </c>
      <c r="J46" s="106" t="str">
        <f t="shared" si="5"/>
        <v xml:space="preserve"> </v>
      </c>
      <c r="K46" s="106" t="str">
        <f t="shared" si="1"/>
        <v xml:space="preserve"> </v>
      </c>
      <c r="L46" s="51" t="str">
        <f t="shared" si="2"/>
        <v xml:space="preserve"> </v>
      </c>
      <c r="M46" s="51"/>
      <c r="N46" s="51" t="str">
        <f t="shared" si="3"/>
        <v xml:space="preserve"> </v>
      </c>
      <c r="U46" s="108"/>
      <c r="V46" s="108"/>
      <c r="X46" s="107"/>
      <c r="Y46" s="109"/>
    </row>
    <row r="47" spans="2:25" ht="18.75" x14ac:dyDescent="0.25">
      <c r="B47" s="75"/>
      <c r="C47" s="92" t="s">
        <v>50</v>
      </c>
      <c r="D47" s="76"/>
      <c r="E47" s="76"/>
      <c r="F47" s="46"/>
      <c r="G47" s="46"/>
      <c r="H47" s="50" t="str">
        <f t="shared" si="4"/>
        <v xml:space="preserve"> </v>
      </c>
      <c r="I47" s="51" t="str">
        <f t="shared" si="0"/>
        <v/>
      </c>
      <c r="J47" s="106" t="str">
        <f t="shared" si="5"/>
        <v xml:space="preserve"> </v>
      </c>
      <c r="K47" s="106" t="str">
        <f t="shared" si="1"/>
        <v xml:space="preserve"> </v>
      </c>
      <c r="L47" s="51" t="str">
        <f t="shared" si="2"/>
        <v xml:space="preserve"> </v>
      </c>
      <c r="M47" s="51"/>
      <c r="N47" s="51" t="str">
        <f t="shared" si="3"/>
        <v xml:space="preserve"> </v>
      </c>
      <c r="Q47" s="164" t="s">
        <v>87</v>
      </c>
      <c r="R47" s="164"/>
      <c r="U47" s="108"/>
      <c r="V47" s="108"/>
      <c r="X47" s="107"/>
      <c r="Y47" s="109"/>
    </row>
    <row r="48" spans="2:25" ht="18.75" x14ac:dyDescent="0.25">
      <c r="B48" s="75"/>
      <c r="C48" s="92" t="s">
        <v>54</v>
      </c>
      <c r="D48" s="76"/>
      <c r="E48" s="76"/>
      <c r="F48" s="46"/>
      <c r="G48" s="46"/>
      <c r="H48" s="50" t="str">
        <f t="shared" si="4"/>
        <v xml:space="preserve"> </v>
      </c>
      <c r="I48" s="51" t="str">
        <f t="shared" si="0"/>
        <v/>
      </c>
      <c r="J48" s="106" t="str">
        <f t="shared" si="5"/>
        <v xml:space="preserve"> </v>
      </c>
      <c r="K48" s="106" t="str">
        <f t="shared" si="1"/>
        <v xml:space="preserve"> </v>
      </c>
      <c r="L48" s="51" t="str">
        <f t="shared" si="2"/>
        <v xml:space="preserve"> </v>
      </c>
      <c r="M48" s="51"/>
      <c r="N48" s="51" t="str">
        <f t="shared" si="3"/>
        <v xml:space="preserve"> </v>
      </c>
      <c r="Q48" s="164"/>
      <c r="R48" s="164"/>
      <c r="U48" s="108"/>
      <c r="V48" s="108"/>
      <c r="X48" s="107"/>
      <c r="Y48" s="109"/>
    </row>
    <row r="49" spans="2:25" ht="18.75" x14ac:dyDescent="0.25">
      <c r="B49" s="75"/>
      <c r="C49" s="92" t="s">
        <v>66</v>
      </c>
      <c r="D49" s="76"/>
      <c r="E49" s="76"/>
      <c r="F49" s="46"/>
      <c r="G49" s="46"/>
      <c r="H49" s="50" t="str">
        <f t="shared" si="4"/>
        <v xml:space="preserve"> </v>
      </c>
      <c r="I49" s="51" t="str">
        <f t="shared" si="0"/>
        <v/>
      </c>
      <c r="J49" s="106" t="str">
        <f t="shared" si="5"/>
        <v xml:space="preserve"> </v>
      </c>
      <c r="K49" s="106" t="str">
        <f t="shared" si="1"/>
        <v xml:space="preserve"> </v>
      </c>
      <c r="L49" s="51" t="str">
        <f t="shared" si="2"/>
        <v xml:space="preserve"> </v>
      </c>
      <c r="M49" s="51"/>
      <c r="N49" s="51" t="str">
        <f t="shared" si="3"/>
        <v xml:space="preserve"> </v>
      </c>
      <c r="U49" s="108"/>
      <c r="V49" s="108"/>
      <c r="X49" s="107"/>
      <c r="Y49" s="109"/>
    </row>
    <row r="50" spans="2:25" ht="18.75" x14ac:dyDescent="0.25">
      <c r="B50" s="75"/>
      <c r="C50" s="92" t="s">
        <v>67</v>
      </c>
      <c r="D50" s="76"/>
      <c r="E50" s="76"/>
      <c r="F50" s="46"/>
      <c r="G50" s="46"/>
      <c r="H50" s="50" t="str">
        <f t="shared" si="4"/>
        <v xml:space="preserve"> </v>
      </c>
      <c r="I50" s="51" t="str">
        <f t="shared" si="0"/>
        <v/>
      </c>
      <c r="J50" s="106" t="str">
        <f t="shared" si="5"/>
        <v xml:space="preserve"> </v>
      </c>
      <c r="K50" s="106" t="str">
        <f t="shared" si="1"/>
        <v xml:space="preserve"> </v>
      </c>
      <c r="L50" s="51" t="str">
        <f t="shared" si="2"/>
        <v xml:space="preserve"> </v>
      </c>
      <c r="M50" s="51"/>
      <c r="N50" s="51" t="str">
        <f t="shared" si="3"/>
        <v xml:space="preserve"> </v>
      </c>
      <c r="U50" s="108"/>
      <c r="V50" s="108"/>
      <c r="X50" s="107"/>
      <c r="Y50" s="109"/>
    </row>
    <row r="51" spans="2:25" ht="15" x14ac:dyDescent="0.25">
      <c r="B51" s="75"/>
      <c r="C51" s="92" t="s">
        <v>68</v>
      </c>
      <c r="D51" s="76"/>
      <c r="E51" s="76"/>
      <c r="F51" s="46"/>
      <c r="G51" s="46"/>
      <c r="H51" s="50" t="str">
        <f t="shared" si="4"/>
        <v xml:space="preserve"> </v>
      </c>
      <c r="I51" s="51" t="str">
        <f t="shared" si="0"/>
        <v/>
      </c>
      <c r="J51" s="106" t="str">
        <f t="shared" si="5"/>
        <v xml:space="preserve"> </v>
      </c>
      <c r="K51" s="106" t="str">
        <f t="shared" si="1"/>
        <v xml:space="preserve"> </v>
      </c>
      <c r="L51" s="51" t="str">
        <f t="shared" si="2"/>
        <v xml:space="preserve"> </v>
      </c>
      <c r="M51" s="51"/>
      <c r="N51" s="51" t="str">
        <f t="shared" si="3"/>
        <v xml:space="preserve"> </v>
      </c>
    </row>
    <row r="52" spans="2:25" ht="28.5" x14ac:dyDescent="0.25">
      <c r="B52" s="75"/>
      <c r="C52" s="92" t="s">
        <v>69</v>
      </c>
      <c r="D52" s="76"/>
      <c r="E52" s="76"/>
      <c r="F52" s="46"/>
      <c r="G52" s="46"/>
      <c r="H52" s="50" t="str">
        <f t="shared" si="4"/>
        <v xml:space="preserve"> </v>
      </c>
      <c r="I52" s="51" t="str">
        <f t="shared" si="0"/>
        <v/>
      </c>
      <c r="J52" s="106" t="str">
        <f t="shared" si="5"/>
        <v xml:space="preserve"> </v>
      </c>
      <c r="K52" s="106" t="str">
        <f t="shared" si="1"/>
        <v xml:space="preserve"> </v>
      </c>
      <c r="L52" s="51" t="str">
        <f t="shared" si="2"/>
        <v xml:space="preserve"> </v>
      </c>
      <c r="M52" s="51"/>
      <c r="N52" s="51" t="str">
        <f t="shared" si="3"/>
        <v xml:space="preserve"> </v>
      </c>
      <c r="R52" s="112"/>
      <c r="S52" s="113"/>
      <c r="T52" s="113"/>
      <c r="U52" s="113"/>
      <c r="V52" s="114"/>
      <c r="W52" s="115">
        <v>360</v>
      </c>
      <c r="X52" s="116"/>
    </row>
    <row r="53" spans="2:25" ht="15" x14ac:dyDescent="0.25">
      <c r="B53" s="75"/>
      <c r="C53" s="92" t="s">
        <v>70</v>
      </c>
      <c r="D53" s="76"/>
      <c r="E53" s="76"/>
      <c r="F53" s="46"/>
      <c r="G53" s="46"/>
      <c r="H53" s="50" t="str">
        <f t="shared" si="4"/>
        <v xml:space="preserve"> </v>
      </c>
      <c r="I53" s="51" t="str">
        <f t="shared" si="0"/>
        <v/>
      </c>
      <c r="J53" s="106" t="str">
        <f t="shared" si="5"/>
        <v xml:space="preserve"> </v>
      </c>
      <c r="K53" s="106" t="str">
        <f t="shared" si="1"/>
        <v xml:space="preserve"> </v>
      </c>
      <c r="L53" s="51" t="str">
        <f t="shared" si="2"/>
        <v xml:space="preserve"> </v>
      </c>
      <c r="M53" s="51"/>
      <c r="N53" s="51" t="str">
        <f t="shared" si="3"/>
        <v xml:space="preserve"> </v>
      </c>
      <c r="R53" s="117"/>
      <c r="S53" s="118"/>
      <c r="T53" s="118"/>
      <c r="U53" s="118"/>
      <c r="V53" s="118"/>
      <c r="W53" s="119">
        <f>+V55</f>
        <v>30</v>
      </c>
      <c r="X53" s="120"/>
    </row>
    <row r="54" spans="2:25" ht="15.75" x14ac:dyDescent="0.25">
      <c r="B54" s="75"/>
      <c r="C54" s="92" t="s">
        <v>71</v>
      </c>
      <c r="D54" s="76"/>
      <c r="E54" s="76"/>
      <c r="F54" s="46"/>
      <c r="G54" s="46"/>
      <c r="H54" s="50" t="str">
        <f t="shared" si="4"/>
        <v xml:space="preserve"> </v>
      </c>
      <c r="I54" s="51" t="str">
        <f t="shared" si="0"/>
        <v/>
      </c>
      <c r="J54" s="106" t="str">
        <f t="shared" si="5"/>
        <v xml:space="preserve"> </v>
      </c>
      <c r="K54" s="106" t="str">
        <f t="shared" si="1"/>
        <v xml:space="preserve"> </v>
      </c>
      <c r="L54" s="51" t="str">
        <f t="shared" si="2"/>
        <v xml:space="preserve"> </v>
      </c>
      <c r="M54" s="51"/>
      <c r="N54" s="51" t="str">
        <f t="shared" si="3"/>
        <v xml:space="preserve"> </v>
      </c>
      <c r="R54" s="117"/>
      <c r="S54" s="118"/>
      <c r="T54" s="118"/>
      <c r="U54" s="118"/>
      <c r="V54" s="121"/>
      <c r="W54" s="118"/>
      <c r="X54" s="120"/>
    </row>
    <row r="55" spans="2:25" ht="28.5" x14ac:dyDescent="0.45">
      <c r="B55" s="75"/>
      <c r="C55" s="92" t="s">
        <v>72</v>
      </c>
      <c r="D55" s="76"/>
      <c r="E55" s="76"/>
      <c r="F55" s="46"/>
      <c r="G55" s="46"/>
      <c r="H55" s="50" t="str">
        <f t="shared" si="4"/>
        <v xml:space="preserve"> </v>
      </c>
      <c r="I55" s="51" t="str">
        <f t="shared" si="0"/>
        <v/>
      </c>
      <c r="J55" s="106" t="str">
        <f t="shared" si="5"/>
        <v xml:space="preserve"> </v>
      </c>
      <c r="K55" s="106" t="str">
        <f t="shared" si="1"/>
        <v xml:space="preserve"> </v>
      </c>
      <c r="L55" s="51" t="str">
        <f t="shared" si="2"/>
        <v xml:space="preserve"> </v>
      </c>
      <c r="M55" s="51"/>
      <c r="N55" s="51" t="str">
        <f t="shared" si="3"/>
        <v xml:space="preserve"> </v>
      </c>
      <c r="R55" s="117"/>
      <c r="S55" s="118"/>
      <c r="T55" s="190">
        <v>1</v>
      </c>
      <c r="U55" s="191">
        <f>+Y34</f>
        <v>0.21749999999726288</v>
      </c>
      <c r="V55" s="122">
        <f>+$D$30</f>
        <v>30</v>
      </c>
      <c r="W55" s="118"/>
      <c r="X55" s="192">
        <v>1</v>
      </c>
    </row>
    <row r="56" spans="2:25" ht="28.5" x14ac:dyDescent="0.45">
      <c r="B56" s="75"/>
      <c r="C56" s="92" t="s">
        <v>73</v>
      </c>
      <c r="D56" s="76"/>
      <c r="E56" s="76"/>
      <c r="F56" s="46"/>
      <c r="G56" s="46"/>
      <c r="H56" s="50" t="str">
        <f t="shared" si="4"/>
        <v xml:space="preserve"> </v>
      </c>
      <c r="I56" s="51" t="str">
        <f t="shared" si="0"/>
        <v/>
      </c>
      <c r="J56" s="106" t="str">
        <f t="shared" si="5"/>
        <v xml:space="preserve"> </v>
      </c>
      <c r="K56" s="106" t="str">
        <f t="shared" si="1"/>
        <v xml:space="preserve"> </v>
      </c>
      <c r="L56" s="51" t="str">
        <f t="shared" si="2"/>
        <v xml:space="preserve"> </v>
      </c>
      <c r="M56" s="51"/>
      <c r="N56" s="51" t="str">
        <f t="shared" si="3"/>
        <v xml:space="preserve"> </v>
      </c>
      <c r="R56" s="117"/>
      <c r="S56" s="118"/>
      <c r="T56" s="190"/>
      <c r="U56" s="191"/>
      <c r="V56" s="122">
        <v>360</v>
      </c>
      <c r="W56" s="110"/>
      <c r="X56" s="192"/>
    </row>
    <row r="57" spans="2:25" ht="15" x14ac:dyDescent="0.25">
      <c r="B57" s="75"/>
      <c r="C57" s="92" t="s">
        <v>74</v>
      </c>
      <c r="D57" s="76"/>
      <c r="E57" s="76"/>
      <c r="F57" s="46"/>
      <c r="G57" s="46"/>
      <c r="H57" s="50" t="str">
        <f t="shared" si="4"/>
        <v xml:space="preserve"> </v>
      </c>
      <c r="I57" s="51" t="str">
        <f t="shared" si="0"/>
        <v/>
      </c>
      <c r="J57" s="106" t="str">
        <f t="shared" si="5"/>
        <v xml:space="preserve"> </v>
      </c>
      <c r="K57" s="106" t="str">
        <f t="shared" si="1"/>
        <v xml:space="preserve"> </v>
      </c>
      <c r="L57" s="51" t="str">
        <f t="shared" si="2"/>
        <v xml:space="preserve"> </v>
      </c>
      <c r="M57" s="51"/>
      <c r="N57" s="51" t="str">
        <f t="shared" si="3"/>
        <v xml:space="preserve"> </v>
      </c>
      <c r="R57" s="117"/>
      <c r="S57" s="118"/>
      <c r="T57" s="118"/>
      <c r="U57" s="118"/>
      <c r="V57" s="118"/>
      <c r="W57" s="118"/>
      <c r="X57" s="120"/>
    </row>
    <row r="58" spans="2:25" ht="15" x14ac:dyDescent="0.25">
      <c r="B58" s="75"/>
      <c r="C58" s="92" t="s">
        <v>51</v>
      </c>
      <c r="D58" s="76"/>
      <c r="E58" s="75"/>
      <c r="H58" s="50" t="str">
        <f t="shared" si="4"/>
        <v xml:space="preserve"> </v>
      </c>
      <c r="I58" s="51" t="str">
        <f t="shared" si="0"/>
        <v/>
      </c>
      <c r="J58" s="106" t="str">
        <f t="shared" si="5"/>
        <v xml:space="preserve"> </v>
      </c>
      <c r="K58" s="106" t="str">
        <f t="shared" si="1"/>
        <v xml:space="preserve"> </v>
      </c>
      <c r="L58" s="51" t="str">
        <f t="shared" si="2"/>
        <v xml:space="preserve"> </v>
      </c>
      <c r="M58" s="51"/>
      <c r="N58" s="51" t="str">
        <f t="shared" si="3"/>
        <v xml:space="preserve"> </v>
      </c>
      <c r="R58" s="117"/>
      <c r="S58" s="118"/>
      <c r="T58" s="118"/>
      <c r="U58" s="118"/>
      <c r="V58" s="118"/>
      <c r="W58" s="118"/>
      <c r="X58" s="120"/>
    </row>
    <row r="59" spans="2:25" ht="15" x14ac:dyDescent="0.25">
      <c r="B59" s="75"/>
      <c r="C59" s="92" t="s">
        <v>52</v>
      </c>
      <c r="D59" s="76"/>
      <c r="E59" s="75"/>
      <c r="H59" s="50" t="str">
        <f t="shared" si="4"/>
        <v xml:space="preserve"> </v>
      </c>
      <c r="I59" s="51" t="str">
        <f t="shared" si="0"/>
        <v/>
      </c>
      <c r="J59" s="106" t="str">
        <f t="shared" si="5"/>
        <v xml:space="preserve"> </v>
      </c>
      <c r="K59" s="106" t="str">
        <f t="shared" si="1"/>
        <v xml:space="preserve"> </v>
      </c>
      <c r="L59" s="51" t="str">
        <f t="shared" si="2"/>
        <v xml:space="preserve"> </v>
      </c>
      <c r="M59" s="51"/>
      <c r="N59" s="51" t="str">
        <f t="shared" si="3"/>
        <v xml:space="preserve"> </v>
      </c>
      <c r="R59" s="123"/>
      <c r="S59" s="124"/>
      <c r="T59" s="124"/>
      <c r="U59" s="124"/>
      <c r="V59" s="124"/>
      <c r="W59" s="124"/>
      <c r="X59" s="125"/>
    </row>
    <row r="60" spans="2:25" ht="15" x14ac:dyDescent="0.25">
      <c r="B60" s="75"/>
      <c r="C60" s="92" t="s">
        <v>53</v>
      </c>
      <c r="D60" s="76"/>
      <c r="E60" s="75"/>
      <c r="H60" s="50" t="str">
        <f t="shared" si="4"/>
        <v xml:space="preserve"> </v>
      </c>
      <c r="I60" s="51" t="str">
        <f t="shared" si="0"/>
        <v/>
      </c>
      <c r="J60" s="106" t="str">
        <f t="shared" si="5"/>
        <v xml:space="preserve"> </v>
      </c>
      <c r="K60" s="106" t="str">
        <f t="shared" si="1"/>
        <v xml:space="preserve"> </v>
      </c>
      <c r="L60" s="51" t="str">
        <f t="shared" si="2"/>
        <v xml:space="preserve"> </v>
      </c>
      <c r="M60" s="51"/>
      <c r="N60" s="51" t="str">
        <f t="shared" si="3"/>
        <v xml:space="preserve"> </v>
      </c>
    </row>
    <row r="61" spans="2:25" ht="28.5" x14ac:dyDescent="0.45">
      <c r="B61" s="75"/>
      <c r="C61" s="93"/>
      <c r="D61" s="75"/>
      <c r="E61" s="75"/>
      <c r="H61" s="50" t="str">
        <f t="shared" si="4"/>
        <v xml:space="preserve"> </v>
      </c>
      <c r="I61" s="51" t="str">
        <f t="shared" si="0"/>
        <v/>
      </c>
      <c r="J61" s="106" t="str">
        <f t="shared" si="5"/>
        <v xml:space="preserve"> </v>
      </c>
      <c r="K61" s="106" t="str">
        <f t="shared" si="1"/>
        <v xml:space="preserve"> </v>
      </c>
      <c r="L61" s="51" t="str">
        <f t="shared" si="2"/>
        <v xml:space="preserve"> </v>
      </c>
      <c r="M61" s="51"/>
      <c r="N61" s="51" t="str">
        <f t="shared" si="3"/>
        <v xml:space="preserve"> </v>
      </c>
      <c r="S61" s="78"/>
    </row>
    <row r="62" spans="2:25" ht="15.75" thickBot="1" x14ac:dyDescent="0.3">
      <c r="B62" s="75"/>
      <c r="C62" s="93" t="s">
        <v>76</v>
      </c>
      <c r="D62" s="75"/>
      <c r="E62" s="75"/>
      <c r="H62" s="50" t="str">
        <f t="shared" si="4"/>
        <v xml:space="preserve"> </v>
      </c>
      <c r="I62" s="51" t="str">
        <f t="shared" si="0"/>
        <v/>
      </c>
      <c r="J62" s="106" t="str">
        <f t="shared" si="5"/>
        <v xml:space="preserve"> </v>
      </c>
      <c r="K62" s="106" t="str">
        <f t="shared" si="1"/>
        <v xml:space="preserve"> </v>
      </c>
      <c r="L62" s="51" t="str">
        <f t="shared" si="2"/>
        <v xml:space="preserve"> </v>
      </c>
      <c r="M62" s="51"/>
      <c r="N62" s="51" t="str">
        <f t="shared" si="3"/>
        <v xml:space="preserve"> </v>
      </c>
    </row>
    <row r="63" spans="2:25" ht="28.5" customHeight="1" x14ac:dyDescent="0.25">
      <c r="B63" s="75"/>
      <c r="C63" s="93" t="s">
        <v>63</v>
      </c>
      <c r="D63" s="75"/>
      <c r="E63" s="75"/>
      <c r="H63" s="50" t="str">
        <f t="shared" si="4"/>
        <v xml:space="preserve"> </v>
      </c>
      <c r="I63" s="51" t="str">
        <f t="shared" si="0"/>
        <v/>
      </c>
      <c r="J63" s="106" t="str">
        <f t="shared" si="5"/>
        <v xml:space="preserve"> </v>
      </c>
      <c r="K63" s="106" t="str">
        <f t="shared" si="1"/>
        <v xml:space="preserve"> </v>
      </c>
      <c r="L63" s="51" t="str">
        <f t="shared" si="2"/>
        <v xml:space="preserve"> </v>
      </c>
      <c r="M63" s="51"/>
      <c r="N63" s="51" t="str">
        <f t="shared" si="3"/>
        <v xml:space="preserve"> </v>
      </c>
      <c r="S63" s="186" t="s">
        <v>0</v>
      </c>
      <c r="T63" s="153">
        <f>+((1+Y34*($D$30/360))^(360/$D$30))-1</f>
        <v>0.24054699144889136</v>
      </c>
      <c r="U63" s="154"/>
      <c r="V63" s="111"/>
    </row>
    <row r="64" spans="2:25" ht="28.5" customHeight="1" thickBot="1" x14ac:dyDescent="0.3">
      <c r="C64" s="93"/>
      <c r="H64" s="50" t="str">
        <f t="shared" si="4"/>
        <v xml:space="preserve"> </v>
      </c>
      <c r="I64" s="51" t="str">
        <f t="shared" si="0"/>
        <v/>
      </c>
      <c r="J64" s="106" t="str">
        <f t="shared" si="5"/>
        <v xml:space="preserve"> </v>
      </c>
      <c r="K64" s="106" t="str">
        <f t="shared" si="1"/>
        <v xml:space="preserve"> </v>
      </c>
      <c r="L64" s="51" t="str">
        <f t="shared" si="2"/>
        <v xml:space="preserve"> </v>
      </c>
      <c r="M64" s="51"/>
      <c r="N64" s="51" t="str">
        <f t="shared" si="3"/>
        <v xml:space="preserve"> </v>
      </c>
      <c r="S64" s="187"/>
      <c r="T64" s="155"/>
      <c r="U64" s="156"/>
      <c r="V64" s="111"/>
    </row>
    <row r="65" spans="3:14" ht="15" x14ac:dyDescent="0.25">
      <c r="C65" s="93" t="s">
        <v>94</v>
      </c>
      <c r="H65" s="50" t="str">
        <f t="shared" si="4"/>
        <v xml:space="preserve"> </v>
      </c>
      <c r="I65" s="51" t="str">
        <f t="shared" si="0"/>
        <v/>
      </c>
      <c r="J65" s="106" t="str">
        <f t="shared" si="5"/>
        <v xml:space="preserve"> </v>
      </c>
      <c r="K65" s="106" t="str">
        <f t="shared" si="1"/>
        <v xml:space="preserve"> </v>
      </c>
      <c r="L65" s="51" t="str">
        <f t="shared" si="2"/>
        <v xml:space="preserve"> </v>
      </c>
      <c r="M65" s="51"/>
      <c r="N65" s="51" t="str">
        <f t="shared" si="3"/>
        <v xml:space="preserve"> </v>
      </c>
    </row>
    <row r="66" spans="3:14" ht="15" x14ac:dyDescent="0.25">
      <c r="C66" s="93" t="s">
        <v>77</v>
      </c>
      <c r="H66" s="50" t="str">
        <f t="shared" si="4"/>
        <v xml:space="preserve"> </v>
      </c>
      <c r="I66" s="51" t="str">
        <f t="shared" si="0"/>
        <v/>
      </c>
      <c r="J66" s="106" t="str">
        <f t="shared" si="5"/>
        <v xml:space="preserve"> </v>
      </c>
      <c r="K66" s="106" t="str">
        <f t="shared" si="1"/>
        <v xml:space="preserve"> </v>
      </c>
      <c r="L66" s="51" t="str">
        <f t="shared" si="2"/>
        <v xml:space="preserve"> </v>
      </c>
      <c r="M66" s="51"/>
      <c r="N66" s="51" t="str">
        <f t="shared" si="3"/>
        <v xml:space="preserve"> </v>
      </c>
    </row>
    <row r="67" spans="3:14" ht="15" x14ac:dyDescent="0.25">
      <c r="C67" s="93" t="s">
        <v>78</v>
      </c>
      <c r="H67" s="50" t="str">
        <f t="shared" si="4"/>
        <v xml:space="preserve"> </v>
      </c>
      <c r="I67" s="51" t="str">
        <f t="shared" si="0"/>
        <v/>
      </c>
      <c r="J67" s="106" t="str">
        <f t="shared" si="5"/>
        <v xml:space="preserve"> </v>
      </c>
      <c r="K67" s="106" t="str">
        <f t="shared" si="1"/>
        <v xml:space="preserve"> </v>
      </c>
      <c r="L67" s="51" t="str">
        <f t="shared" si="2"/>
        <v xml:space="preserve"> </v>
      </c>
      <c r="M67" s="51"/>
      <c r="N67" s="51" t="str">
        <f t="shared" si="3"/>
        <v xml:space="preserve"> </v>
      </c>
    </row>
    <row r="68" spans="3:14" ht="15" x14ac:dyDescent="0.25">
      <c r="C68" s="93" t="s">
        <v>81</v>
      </c>
      <c r="H68" s="50" t="str">
        <f t="shared" si="4"/>
        <v xml:space="preserve"> </v>
      </c>
      <c r="I68" s="51" t="str">
        <f t="shared" si="0"/>
        <v/>
      </c>
      <c r="J68" s="106" t="str">
        <f t="shared" si="5"/>
        <v xml:space="preserve"> </v>
      </c>
      <c r="K68" s="106" t="str">
        <f t="shared" si="1"/>
        <v xml:space="preserve"> </v>
      </c>
      <c r="L68" s="51" t="str">
        <f t="shared" si="2"/>
        <v xml:space="preserve"> </v>
      </c>
      <c r="M68" s="51"/>
      <c r="N68" s="51" t="str">
        <f t="shared" si="3"/>
        <v xml:space="preserve"> </v>
      </c>
    </row>
    <row r="69" spans="3:14" ht="15" x14ac:dyDescent="0.25">
      <c r="C69" s="93" t="s">
        <v>79</v>
      </c>
      <c r="H69" s="50" t="str">
        <f t="shared" si="4"/>
        <v xml:space="preserve"> </v>
      </c>
      <c r="I69" s="51" t="str">
        <f t="shared" si="0"/>
        <v/>
      </c>
      <c r="J69" s="106" t="str">
        <f t="shared" si="5"/>
        <v xml:space="preserve"> </v>
      </c>
      <c r="K69" s="106" t="str">
        <f t="shared" si="1"/>
        <v xml:space="preserve"> </v>
      </c>
      <c r="L69" s="51" t="str">
        <f t="shared" si="2"/>
        <v xml:space="preserve"> </v>
      </c>
      <c r="M69" s="51"/>
      <c r="N69" s="51" t="str">
        <f t="shared" si="3"/>
        <v xml:space="preserve"> </v>
      </c>
    </row>
    <row r="70" spans="3:14" ht="15" x14ac:dyDescent="0.25">
      <c r="C70" s="93" t="s">
        <v>82</v>
      </c>
      <c r="H70" s="50" t="str">
        <f t="shared" si="4"/>
        <v xml:space="preserve"> </v>
      </c>
      <c r="I70" s="51" t="str">
        <f t="shared" si="0"/>
        <v/>
      </c>
      <c r="J70" s="106" t="str">
        <f t="shared" si="5"/>
        <v xml:space="preserve"> </v>
      </c>
      <c r="K70" s="106" t="str">
        <f t="shared" si="1"/>
        <v xml:space="preserve"> </v>
      </c>
      <c r="L70" s="51" t="str">
        <f t="shared" si="2"/>
        <v xml:space="preserve"> </v>
      </c>
      <c r="M70" s="51"/>
      <c r="N70" s="51" t="str">
        <f t="shared" si="3"/>
        <v xml:space="preserve"> </v>
      </c>
    </row>
    <row r="71" spans="3:14" ht="15" x14ac:dyDescent="0.25">
      <c r="C71" s="94" t="s">
        <v>80</v>
      </c>
      <c r="H71" s="50" t="str">
        <f t="shared" si="4"/>
        <v xml:space="preserve"> </v>
      </c>
      <c r="I71" s="51" t="str">
        <f t="shared" si="0"/>
        <v/>
      </c>
      <c r="J71" s="106" t="str">
        <f t="shared" si="5"/>
        <v xml:space="preserve"> </v>
      </c>
      <c r="K71" s="106" t="str">
        <f t="shared" si="1"/>
        <v xml:space="preserve"> </v>
      </c>
      <c r="L71" s="51" t="str">
        <f t="shared" si="2"/>
        <v xml:space="preserve"> </v>
      </c>
      <c r="M71" s="51"/>
      <c r="N71" s="51" t="str">
        <f t="shared" si="3"/>
        <v xml:space="preserve"> </v>
      </c>
    </row>
    <row r="72" spans="3:14" ht="15" x14ac:dyDescent="0.25">
      <c r="C72" s="93"/>
      <c r="H72" s="50" t="str">
        <f t="shared" si="4"/>
        <v xml:space="preserve"> </v>
      </c>
      <c r="I72" s="51" t="str">
        <f t="shared" si="0"/>
        <v/>
      </c>
      <c r="J72" s="106" t="str">
        <f t="shared" si="5"/>
        <v xml:space="preserve"> </v>
      </c>
      <c r="K72" s="106" t="str">
        <f t="shared" si="1"/>
        <v xml:space="preserve"> </v>
      </c>
      <c r="L72" s="51" t="str">
        <f t="shared" si="2"/>
        <v xml:space="preserve"> </v>
      </c>
      <c r="M72" s="51"/>
      <c r="N72" s="51" t="str">
        <f t="shared" si="3"/>
        <v xml:space="preserve"> </v>
      </c>
    </row>
    <row r="73" spans="3:14" ht="15" x14ac:dyDescent="0.25">
      <c r="H73" s="50" t="str">
        <f t="shared" si="4"/>
        <v xml:space="preserve"> </v>
      </c>
      <c r="I73" s="51" t="str">
        <f t="shared" si="0"/>
        <v/>
      </c>
      <c r="J73" s="106" t="str">
        <f t="shared" si="5"/>
        <v xml:space="preserve"> </v>
      </c>
      <c r="K73" s="106" t="str">
        <f t="shared" si="1"/>
        <v xml:space="preserve"> </v>
      </c>
      <c r="L73" s="51" t="str">
        <f t="shared" si="2"/>
        <v xml:space="preserve"> </v>
      </c>
      <c r="M73" s="51"/>
      <c r="N73" s="51" t="str">
        <f t="shared" si="3"/>
        <v xml:space="preserve"> </v>
      </c>
    </row>
    <row r="74" spans="3:14" ht="15" x14ac:dyDescent="0.25">
      <c r="H74" s="50" t="str">
        <f t="shared" si="4"/>
        <v xml:space="preserve"> </v>
      </c>
      <c r="I74" s="51" t="str">
        <f t="shared" si="0"/>
        <v/>
      </c>
      <c r="J74" s="106" t="str">
        <f t="shared" si="5"/>
        <v xml:space="preserve"> </v>
      </c>
      <c r="K74" s="106" t="str">
        <f t="shared" si="1"/>
        <v xml:space="preserve"> </v>
      </c>
      <c r="L74" s="51" t="str">
        <f t="shared" si="2"/>
        <v xml:space="preserve"> </v>
      </c>
      <c r="M74" s="51"/>
      <c r="N74" s="51" t="str">
        <f t="shared" si="3"/>
        <v xml:space="preserve"> </v>
      </c>
    </row>
    <row r="75" spans="3:14" ht="15" x14ac:dyDescent="0.25">
      <c r="H75" s="50" t="str">
        <f t="shared" si="4"/>
        <v xml:space="preserve"> </v>
      </c>
      <c r="I75" s="51" t="str">
        <f t="shared" si="0"/>
        <v/>
      </c>
      <c r="J75" s="106" t="str">
        <f t="shared" si="5"/>
        <v xml:space="preserve"> </v>
      </c>
      <c r="K75" s="106" t="str">
        <f t="shared" si="1"/>
        <v xml:space="preserve"> </v>
      </c>
      <c r="L75" s="51" t="str">
        <f t="shared" si="2"/>
        <v xml:space="preserve"> </v>
      </c>
      <c r="M75" s="51"/>
      <c r="N75" s="51" t="str">
        <f t="shared" si="3"/>
        <v xml:space="preserve"> </v>
      </c>
    </row>
    <row r="76" spans="3:14" ht="15" x14ac:dyDescent="0.25">
      <c r="H76" s="50" t="str">
        <f t="shared" si="4"/>
        <v xml:space="preserve"> </v>
      </c>
      <c r="I76" s="51" t="str">
        <f t="shared" si="0"/>
        <v/>
      </c>
      <c r="J76" s="106" t="str">
        <f t="shared" si="5"/>
        <v xml:space="preserve"> </v>
      </c>
      <c r="K76" s="106" t="str">
        <f t="shared" si="1"/>
        <v xml:space="preserve"> </v>
      </c>
      <c r="L76" s="51" t="str">
        <f t="shared" si="2"/>
        <v xml:space="preserve"> </v>
      </c>
      <c r="M76" s="51"/>
      <c r="N76" s="51" t="str">
        <f t="shared" si="3"/>
        <v xml:space="preserve"> </v>
      </c>
    </row>
    <row r="77" spans="3:14" ht="15" x14ac:dyDescent="0.25">
      <c r="H77" s="50" t="str">
        <f t="shared" si="4"/>
        <v xml:space="preserve"> </v>
      </c>
      <c r="I77" s="51" t="str">
        <f t="shared" si="0"/>
        <v/>
      </c>
      <c r="J77" s="106" t="str">
        <f t="shared" si="5"/>
        <v xml:space="preserve"> </v>
      </c>
      <c r="K77" s="106" t="str">
        <f t="shared" si="1"/>
        <v xml:space="preserve"> </v>
      </c>
      <c r="L77" s="51" t="str">
        <f t="shared" si="2"/>
        <v xml:space="preserve"> </v>
      </c>
      <c r="M77" s="51"/>
      <c r="N77" s="51" t="str">
        <f t="shared" si="3"/>
        <v xml:space="preserve"> </v>
      </c>
    </row>
    <row r="78" spans="3:14" ht="15" x14ac:dyDescent="0.25">
      <c r="H78" s="50" t="str">
        <f t="shared" si="4"/>
        <v xml:space="preserve"> </v>
      </c>
      <c r="I78" s="51" t="str">
        <f t="shared" si="0"/>
        <v/>
      </c>
      <c r="J78" s="106" t="str">
        <f t="shared" si="5"/>
        <v xml:space="preserve"> </v>
      </c>
      <c r="K78" s="106" t="str">
        <f t="shared" si="1"/>
        <v xml:space="preserve"> </v>
      </c>
      <c r="L78" s="51" t="str">
        <f t="shared" si="2"/>
        <v xml:space="preserve"> </v>
      </c>
      <c r="M78" s="51"/>
      <c r="N78" s="51" t="str">
        <f t="shared" si="3"/>
        <v xml:space="preserve"> </v>
      </c>
    </row>
    <row r="79" spans="3:14" ht="15" x14ac:dyDescent="0.25">
      <c r="H79" s="50" t="str">
        <f t="shared" si="4"/>
        <v xml:space="preserve"> </v>
      </c>
      <c r="I79" s="51" t="str">
        <f t="shared" si="0"/>
        <v/>
      </c>
      <c r="J79" s="106" t="str">
        <f t="shared" si="5"/>
        <v xml:space="preserve"> </v>
      </c>
      <c r="K79" s="106" t="str">
        <f t="shared" si="1"/>
        <v xml:space="preserve"> </v>
      </c>
      <c r="L79" s="51" t="str">
        <f t="shared" si="2"/>
        <v xml:space="preserve"> </v>
      </c>
      <c r="M79" s="51"/>
      <c r="N79" s="51" t="str">
        <f t="shared" si="3"/>
        <v xml:space="preserve"> </v>
      </c>
    </row>
    <row r="80" spans="3:14" ht="15" x14ac:dyDescent="0.25">
      <c r="H80" s="50" t="str">
        <f t="shared" si="4"/>
        <v xml:space="preserve"> </v>
      </c>
      <c r="I80" s="51" t="str">
        <f t="shared" si="0"/>
        <v/>
      </c>
      <c r="J80" s="106" t="str">
        <f t="shared" si="5"/>
        <v xml:space="preserve"> </v>
      </c>
      <c r="K80" s="106" t="str">
        <f t="shared" si="1"/>
        <v xml:space="preserve"> </v>
      </c>
      <c r="L80" s="51" t="str">
        <f t="shared" si="2"/>
        <v xml:space="preserve"> </v>
      </c>
      <c r="M80" s="51"/>
      <c r="N80" s="51" t="str">
        <f t="shared" si="3"/>
        <v xml:space="preserve"> </v>
      </c>
    </row>
    <row r="81" spans="8:19" ht="15" x14ac:dyDescent="0.25">
      <c r="H81" s="50" t="str">
        <f t="shared" si="4"/>
        <v xml:space="preserve"> </v>
      </c>
      <c r="I81" s="51" t="str">
        <f t="shared" ref="I81:I144" si="6">IF(H80&lt;=$S$15,IF(credito="Francesa",IF(H81&lt;=$S$15,$I80,0),IF(credito="Alemana",IF(H81&lt;=$S$15,J81+K81,0))),"")</f>
        <v/>
      </c>
      <c r="J81" s="106" t="str">
        <f t="shared" si="5"/>
        <v xml:space="preserve"> </v>
      </c>
      <c r="K81" s="106" t="str">
        <f t="shared" ref="K81:K144" si="7">IF(H81&lt;=$S$15,IF(credito="Francesa",I81-J81,IF(credito="Alemana",IF(H81&lt;=$S$15,$K80,0)))," ")</f>
        <v xml:space="preserve"> </v>
      </c>
      <c r="L81" s="51" t="str">
        <f t="shared" ref="L81:L144" si="8">IF(H81&lt;=$S$15,L80-K81," ")</f>
        <v xml:space="preserve"> </v>
      </c>
      <c r="M81" s="51"/>
      <c r="N81" s="51" t="str">
        <f t="shared" ref="N81:N144" si="9">IF(H81&lt;=$S$15,-I81," ")</f>
        <v xml:space="preserve"> </v>
      </c>
    </row>
    <row r="82" spans="8:19" ht="15" x14ac:dyDescent="0.25">
      <c r="H82" s="50" t="str">
        <f t="shared" ref="H82:H145" si="10">IF($H81&gt;=$S$15," ",H81+1)</f>
        <v xml:space="preserve"> </v>
      </c>
      <c r="I82" s="51" t="str">
        <f t="shared" si="6"/>
        <v/>
      </c>
      <c r="J82" s="106" t="str">
        <f t="shared" ref="J82:J145" si="11">IF(H82&lt;=$S$15,L81*$D$26/$D$22," ")</f>
        <v xml:space="preserve"> </v>
      </c>
      <c r="K82" s="106" t="str">
        <f t="shared" si="7"/>
        <v xml:space="preserve"> </v>
      </c>
      <c r="L82" s="51" t="str">
        <f t="shared" si="8"/>
        <v xml:space="preserve"> </v>
      </c>
      <c r="M82" s="51"/>
      <c r="N82" s="51" t="str">
        <f t="shared" si="9"/>
        <v xml:space="preserve"> </v>
      </c>
    </row>
    <row r="83" spans="8:19" ht="15" x14ac:dyDescent="0.25">
      <c r="H83" s="50" t="str">
        <f t="shared" si="10"/>
        <v xml:space="preserve"> </v>
      </c>
      <c r="I83" s="51" t="str">
        <f t="shared" si="6"/>
        <v/>
      </c>
      <c r="J83" s="106" t="str">
        <f t="shared" si="11"/>
        <v xml:space="preserve"> </v>
      </c>
      <c r="K83" s="106" t="str">
        <f t="shared" si="7"/>
        <v xml:space="preserve"> </v>
      </c>
      <c r="L83" s="51" t="str">
        <f t="shared" si="8"/>
        <v xml:space="preserve"> </v>
      </c>
      <c r="M83" s="51"/>
      <c r="N83" s="51" t="str">
        <f t="shared" si="9"/>
        <v xml:space="preserve"> </v>
      </c>
    </row>
    <row r="84" spans="8:19" ht="15" x14ac:dyDescent="0.25">
      <c r="H84" s="50" t="str">
        <f t="shared" si="10"/>
        <v xml:space="preserve"> </v>
      </c>
      <c r="I84" s="51" t="str">
        <f t="shared" si="6"/>
        <v/>
      </c>
      <c r="J84" s="106" t="str">
        <f t="shared" si="11"/>
        <v xml:space="preserve"> </v>
      </c>
      <c r="K84" s="106" t="str">
        <f t="shared" si="7"/>
        <v xml:space="preserve"> </v>
      </c>
      <c r="L84" s="51" t="str">
        <f t="shared" si="8"/>
        <v xml:space="preserve"> </v>
      </c>
      <c r="M84" s="51"/>
      <c r="N84" s="51" t="str">
        <f t="shared" si="9"/>
        <v xml:space="preserve"> </v>
      </c>
    </row>
    <row r="85" spans="8:19" ht="15" x14ac:dyDescent="0.25">
      <c r="H85" s="50" t="str">
        <f t="shared" si="10"/>
        <v xml:space="preserve"> </v>
      </c>
      <c r="I85" s="51" t="str">
        <f t="shared" si="6"/>
        <v/>
      </c>
      <c r="J85" s="106" t="str">
        <f t="shared" si="11"/>
        <v xml:space="preserve"> </v>
      </c>
      <c r="K85" s="106" t="str">
        <f t="shared" si="7"/>
        <v xml:space="preserve"> </v>
      </c>
      <c r="L85" s="51" t="str">
        <f t="shared" si="8"/>
        <v xml:space="preserve"> </v>
      </c>
      <c r="M85" s="51"/>
      <c r="N85" s="51" t="str">
        <f t="shared" si="9"/>
        <v xml:space="preserve"> </v>
      </c>
    </row>
    <row r="86" spans="8:19" ht="28.5" x14ac:dyDescent="0.45">
      <c r="H86" s="50" t="str">
        <f t="shared" si="10"/>
        <v xml:space="preserve"> </v>
      </c>
      <c r="I86" s="51" t="str">
        <f t="shared" si="6"/>
        <v/>
      </c>
      <c r="J86" s="106" t="str">
        <f t="shared" si="11"/>
        <v xml:space="preserve"> </v>
      </c>
      <c r="K86" s="106" t="str">
        <f t="shared" si="7"/>
        <v xml:space="preserve"> </v>
      </c>
      <c r="L86" s="51" t="str">
        <f t="shared" si="8"/>
        <v xml:space="preserve"> </v>
      </c>
      <c r="M86" s="51"/>
      <c r="N86" s="51" t="str">
        <f t="shared" si="9"/>
        <v xml:space="preserve"> </v>
      </c>
      <c r="R86" s="185"/>
      <c r="S86" s="185"/>
    </row>
    <row r="87" spans="8:19" ht="15" x14ac:dyDescent="0.25">
      <c r="H87" s="50" t="str">
        <f t="shared" si="10"/>
        <v xml:space="preserve"> </v>
      </c>
      <c r="I87" s="51" t="str">
        <f t="shared" si="6"/>
        <v/>
      </c>
      <c r="J87" s="106" t="str">
        <f t="shared" si="11"/>
        <v xml:space="preserve"> </v>
      </c>
      <c r="K87" s="106" t="str">
        <f t="shared" si="7"/>
        <v xml:space="preserve"> </v>
      </c>
      <c r="L87" s="51" t="str">
        <f t="shared" si="8"/>
        <v xml:space="preserve"> </v>
      </c>
      <c r="M87" s="51"/>
      <c r="N87" s="51" t="str">
        <f t="shared" si="9"/>
        <v xml:space="preserve"> </v>
      </c>
    </row>
    <row r="88" spans="8:19" ht="15" x14ac:dyDescent="0.25">
      <c r="H88" s="50" t="str">
        <f t="shared" si="10"/>
        <v xml:space="preserve"> </v>
      </c>
      <c r="I88" s="51" t="str">
        <f t="shared" si="6"/>
        <v/>
      </c>
      <c r="J88" s="106" t="str">
        <f t="shared" si="11"/>
        <v xml:space="preserve"> </v>
      </c>
      <c r="K88" s="106" t="str">
        <f t="shared" si="7"/>
        <v xml:space="preserve"> </v>
      </c>
      <c r="L88" s="51" t="str">
        <f t="shared" si="8"/>
        <v xml:space="preserve"> </v>
      </c>
      <c r="M88" s="51"/>
      <c r="N88" s="51" t="str">
        <f t="shared" si="9"/>
        <v xml:space="preserve"> </v>
      </c>
    </row>
    <row r="89" spans="8:19" ht="15" x14ac:dyDescent="0.25">
      <c r="H89" s="50" t="str">
        <f t="shared" si="10"/>
        <v xml:space="preserve"> </v>
      </c>
      <c r="I89" s="51" t="str">
        <f t="shared" si="6"/>
        <v/>
      </c>
      <c r="J89" s="106" t="str">
        <f t="shared" si="11"/>
        <v xml:space="preserve"> </v>
      </c>
      <c r="K89" s="106" t="str">
        <f t="shared" si="7"/>
        <v xml:space="preserve"> </v>
      </c>
      <c r="L89" s="51" t="str">
        <f t="shared" si="8"/>
        <v xml:space="preserve"> </v>
      </c>
      <c r="M89" s="51"/>
      <c r="N89" s="51" t="str">
        <f t="shared" si="9"/>
        <v xml:space="preserve"> </v>
      </c>
    </row>
    <row r="90" spans="8:19" ht="15" x14ac:dyDescent="0.25">
      <c r="H90" s="50" t="str">
        <f t="shared" si="10"/>
        <v xml:space="preserve"> </v>
      </c>
      <c r="I90" s="51" t="str">
        <f t="shared" si="6"/>
        <v/>
      </c>
      <c r="J90" s="106" t="str">
        <f t="shared" si="11"/>
        <v xml:space="preserve"> </v>
      </c>
      <c r="K90" s="106" t="str">
        <f t="shared" si="7"/>
        <v xml:space="preserve"> </v>
      </c>
      <c r="L90" s="51" t="str">
        <f t="shared" si="8"/>
        <v xml:space="preserve"> </v>
      </c>
      <c r="M90" s="51"/>
      <c r="N90" s="51" t="str">
        <f t="shared" si="9"/>
        <v xml:space="preserve"> </v>
      </c>
    </row>
    <row r="91" spans="8:19" ht="15" x14ac:dyDescent="0.25">
      <c r="H91" s="50" t="str">
        <f t="shared" si="10"/>
        <v xml:space="preserve"> </v>
      </c>
      <c r="I91" s="51" t="str">
        <f t="shared" si="6"/>
        <v/>
      </c>
      <c r="J91" s="106" t="str">
        <f t="shared" si="11"/>
        <v xml:space="preserve"> </v>
      </c>
      <c r="K91" s="106" t="str">
        <f t="shared" si="7"/>
        <v xml:space="preserve"> </v>
      </c>
      <c r="L91" s="51" t="str">
        <f t="shared" si="8"/>
        <v xml:space="preserve"> </v>
      </c>
      <c r="M91" s="51"/>
      <c r="N91" s="51" t="str">
        <f t="shared" si="9"/>
        <v xml:space="preserve"> </v>
      </c>
    </row>
    <row r="92" spans="8:19" ht="15" x14ac:dyDescent="0.25">
      <c r="H92" s="50" t="str">
        <f t="shared" si="10"/>
        <v xml:space="preserve"> </v>
      </c>
      <c r="I92" s="51" t="str">
        <f t="shared" si="6"/>
        <v/>
      </c>
      <c r="J92" s="106" t="str">
        <f t="shared" si="11"/>
        <v xml:space="preserve"> </v>
      </c>
      <c r="K92" s="106" t="str">
        <f t="shared" si="7"/>
        <v xml:space="preserve"> </v>
      </c>
      <c r="L92" s="51" t="str">
        <f t="shared" si="8"/>
        <v xml:space="preserve"> </v>
      </c>
      <c r="M92" s="51"/>
      <c r="N92" s="51" t="str">
        <f t="shared" si="9"/>
        <v xml:space="preserve"> </v>
      </c>
    </row>
    <row r="93" spans="8:19" ht="15" x14ac:dyDescent="0.25">
      <c r="H93" s="50" t="str">
        <f t="shared" si="10"/>
        <v xml:space="preserve"> </v>
      </c>
      <c r="I93" s="51" t="str">
        <f t="shared" si="6"/>
        <v/>
      </c>
      <c r="J93" s="106" t="str">
        <f t="shared" si="11"/>
        <v xml:space="preserve"> </v>
      </c>
      <c r="K93" s="106" t="str">
        <f t="shared" si="7"/>
        <v xml:space="preserve"> </v>
      </c>
      <c r="L93" s="51" t="str">
        <f t="shared" si="8"/>
        <v xml:space="preserve"> </v>
      </c>
      <c r="M93" s="51"/>
      <c r="N93" s="51" t="str">
        <f t="shared" si="9"/>
        <v xml:space="preserve"> </v>
      </c>
    </row>
    <row r="94" spans="8:19" ht="15" x14ac:dyDescent="0.25">
      <c r="H94" s="50" t="str">
        <f t="shared" si="10"/>
        <v xml:space="preserve"> </v>
      </c>
      <c r="I94" s="51" t="str">
        <f t="shared" si="6"/>
        <v/>
      </c>
      <c r="J94" s="106" t="str">
        <f t="shared" si="11"/>
        <v xml:space="preserve"> </v>
      </c>
      <c r="K94" s="106" t="str">
        <f t="shared" si="7"/>
        <v xml:space="preserve"> </v>
      </c>
      <c r="L94" s="51" t="str">
        <f t="shared" si="8"/>
        <v xml:space="preserve"> </v>
      </c>
      <c r="M94" s="51"/>
      <c r="N94" s="51" t="str">
        <f t="shared" si="9"/>
        <v xml:space="preserve"> </v>
      </c>
    </row>
    <row r="95" spans="8:19" ht="15" x14ac:dyDescent="0.25">
      <c r="H95" s="50" t="str">
        <f t="shared" si="10"/>
        <v xml:space="preserve"> </v>
      </c>
      <c r="I95" s="51" t="str">
        <f t="shared" si="6"/>
        <v/>
      </c>
      <c r="J95" s="106" t="str">
        <f t="shared" si="11"/>
        <v xml:space="preserve"> </v>
      </c>
      <c r="K95" s="106" t="str">
        <f t="shared" si="7"/>
        <v xml:space="preserve"> </v>
      </c>
      <c r="L95" s="51" t="str">
        <f t="shared" si="8"/>
        <v xml:space="preserve"> </v>
      </c>
      <c r="M95" s="51"/>
      <c r="N95" s="51" t="str">
        <f t="shared" si="9"/>
        <v xml:space="preserve"> </v>
      </c>
    </row>
    <row r="96" spans="8:19" ht="15" x14ac:dyDescent="0.25">
      <c r="H96" s="50" t="str">
        <f t="shared" si="10"/>
        <v xml:space="preserve"> </v>
      </c>
      <c r="I96" s="51" t="str">
        <f t="shared" si="6"/>
        <v/>
      </c>
      <c r="J96" s="106" t="str">
        <f t="shared" si="11"/>
        <v xml:space="preserve"> </v>
      </c>
      <c r="K96" s="106" t="str">
        <f t="shared" si="7"/>
        <v xml:space="preserve"> </v>
      </c>
      <c r="L96" s="51" t="str">
        <f t="shared" si="8"/>
        <v xml:space="preserve"> </v>
      </c>
      <c r="M96" s="51"/>
      <c r="N96" s="51" t="str">
        <f t="shared" si="9"/>
        <v xml:space="preserve"> </v>
      </c>
    </row>
    <row r="97" spans="8:14" ht="15" x14ac:dyDescent="0.25">
      <c r="H97" s="50" t="str">
        <f t="shared" si="10"/>
        <v xml:space="preserve"> </v>
      </c>
      <c r="I97" s="51" t="str">
        <f t="shared" si="6"/>
        <v/>
      </c>
      <c r="J97" s="106" t="str">
        <f t="shared" si="11"/>
        <v xml:space="preserve"> </v>
      </c>
      <c r="K97" s="106" t="str">
        <f t="shared" si="7"/>
        <v xml:space="preserve"> </v>
      </c>
      <c r="L97" s="51" t="str">
        <f t="shared" si="8"/>
        <v xml:space="preserve"> </v>
      </c>
      <c r="M97" s="51"/>
      <c r="N97" s="51" t="str">
        <f t="shared" si="9"/>
        <v xml:space="preserve"> </v>
      </c>
    </row>
    <row r="98" spans="8:14" ht="15" x14ac:dyDescent="0.25">
      <c r="H98" s="50" t="str">
        <f t="shared" si="10"/>
        <v xml:space="preserve"> </v>
      </c>
      <c r="I98" s="51" t="str">
        <f t="shared" si="6"/>
        <v/>
      </c>
      <c r="J98" s="106" t="str">
        <f t="shared" si="11"/>
        <v xml:space="preserve"> </v>
      </c>
      <c r="K98" s="106" t="str">
        <f t="shared" si="7"/>
        <v xml:space="preserve"> </v>
      </c>
      <c r="L98" s="51" t="str">
        <f t="shared" si="8"/>
        <v xml:space="preserve"> </v>
      </c>
      <c r="M98" s="51"/>
      <c r="N98" s="51" t="str">
        <f t="shared" si="9"/>
        <v xml:space="preserve"> </v>
      </c>
    </row>
    <row r="99" spans="8:14" ht="15" x14ac:dyDescent="0.25">
      <c r="H99" s="50" t="str">
        <f t="shared" si="10"/>
        <v xml:space="preserve"> </v>
      </c>
      <c r="I99" s="51" t="str">
        <f t="shared" si="6"/>
        <v/>
      </c>
      <c r="J99" s="106" t="str">
        <f t="shared" si="11"/>
        <v xml:space="preserve"> </v>
      </c>
      <c r="K99" s="106" t="str">
        <f t="shared" si="7"/>
        <v xml:space="preserve"> </v>
      </c>
      <c r="L99" s="51" t="str">
        <f t="shared" si="8"/>
        <v xml:space="preserve"> </v>
      </c>
      <c r="M99" s="51"/>
      <c r="N99" s="51" t="str">
        <f t="shared" si="9"/>
        <v xml:space="preserve"> </v>
      </c>
    </row>
    <row r="100" spans="8:14" ht="15" x14ac:dyDescent="0.25">
      <c r="H100" s="50" t="str">
        <f t="shared" si="10"/>
        <v xml:space="preserve"> </v>
      </c>
      <c r="I100" s="51" t="str">
        <f t="shared" si="6"/>
        <v/>
      </c>
      <c r="J100" s="106" t="str">
        <f t="shared" si="11"/>
        <v xml:space="preserve"> </v>
      </c>
      <c r="K100" s="106" t="str">
        <f t="shared" si="7"/>
        <v xml:space="preserve"> </v>
      </c>
      <c r="L100" s="51" t="str">
        <f t="shared" si="8"/>
        <v xml:space="preserve"> </v>
      </c>
      <c r="M100" s="51"/>
      <c r="N100" s="51" t="str">
        <f t="shared" si="9"/>
        <v xml:space="preserve"> </v>
      </c>
    </row>
    <row r="101" spans="8:14" ht="15" x14ac:dyDescent="0.25">
      <c r="H101" s="50" t="str">
        <f t="shared" si="10"/>
        <v xml:space="preserve"> </v>
      </c>
      <c r="I101" s="51" t="str">
        <f t="shared" si="6"/>
        <v/>
      </c>
      <c r="J101" s="106" t="str">
        <f t="shared" si="11"/>
        <v xml:space="preserve"> </v>
      </c>
      <c r="K101" s="106" t="str">
        <f t="shared" si="7"/>
        <v xml:space="preserve"> </v>
      </c>
      <c r="L101" s="51" t="str">
        <f t="shared" si="8"/>
        <v xml:space="preserve"> </v>
      </c>
      <c r="M101" s="51"/>
      <c r="N101" s="51" t="str">
        <f t="shared" si="9"/>
        <v xml:space="preserve"> </v>
      </c>
    </row>
    <row r="102" spans="8:14" ht="15" x14ac:dyDescent="0.25">
      <c r="H102" s="50" t="str">
        <f t="shared" si="10"/>
        <v xml:space="preserve"> </v>
      </c>
      <c r="I102" s="51" t="str">
        <f t="shared" si="6"/>
        <v/>
      </c>
      <c r="J102" s="106" t="str">
        <f t="shared" si="11"/>
        <v xml:space="preserve"> </v>
      </c>
      <c r="K102" s="106" t="str">
        <f t="shared" si="7"/>
        <v xml:space="preserve"> </v>
      </c>
      <c r="L102" s="51" t="str">
        <f t="shared" si="8"/>
        <v xml:space="preserve"> </v>
      </c>
      <c r="M102" s="51"/>
      <c r="N102" s="51" t="str">
        <f t="shared" si="9"/>
        <v xml:space="preserve"> </v>
      </c>
    </row>
    <row r="103" spans="8:14" ht="15" x14ac:dyDescent="0.25">
      <c r="H103" s="50" t="str">
        <f t="shared" si="10"/>
        <v xml:space="preserve"> </v>
      </c>
      <c r="I103" s="51" t="str">
        <f t="shared" si="6"/>
        <v/>
      </c>
      <c r="J103" s="106" t="str">
        <f t="shared" si="11"/>
        <v xml:space="preserve"> </v>
      </c>
      <c r="K103" s="106" t="str">
        <f t="shared" si="7"/>
        <v xml:space="preserve"> </v>
      </c>
      <c r="L103" s="51" t="str">
        <f t="shared" si="8"/>
        <v xml:space="preserve"> </v>
      </c>
      <c r="M103" s="51"/>
      <c r="N103" s="51" t="str">
        <f t="shared" si="9"/>
        <v xml:space="preserve"> </v>
      </c>
    </row>
    <row r="104" spans="8:14" ht="15" x14ac:dyDescent="0.25">
      <c r="H104" s="50" t="str">
        <f t="shared" si="10"/>
        <v xml:space="preserve"> </v>
      </c>
      <c r="I104" s="51" t="str">
        <f t="shared" si="6"/>
        <v/>
      </c>
      <c r="J104" s="106" t="str">
        <f t="shared" si="11"/>
        <v xml:space="preserve"> </v>
      </c>
      <c r="K104" s="106" t="str">
        <f t="shared" si="7"/>
        <v xml:space="preserve"> </v>
      </c>
      <c r="L104" s="51" t="str">
        <f t="shared" si="8"/>
        <v xml:space="preserve"> </v>
      </c>
      <c r="M104" s="51"/>
      <c r="N104" s="51" t="str">
        <f t="shared" si="9"/>
        <v xml:space="preserve"> </v>
      </c>
    </row>
    <row r="105" spans="8:14" ht="15" x14ac:dyDescent="0.25">
      <c r="H105" s="50" t="str">
        <f t="shared" si="10"/>
        <v xml:space="preserve"> </v>
      </c>
      <c r="I105" s="51" t="str">
        <f t="shared" si="6"/>
        <v/>
      </c>
      <c r="J105" s="106" t="str">
        <f t="shared" si="11"/>
        <v xml:space="preserve"> </v>
      </c>
      <c r="K105" s="106" t="str">
        <f t="shared" si="7"/>
        <v xml:space="preserve"> </v>
      </c>
      <c r="L105" s="51" t="str">
        <f t="shared" si="8"/>
        <v xml:space="preserve"> </v>
      </c>
      <c r="M105" s="51"/>
      <c r="N105" s="51" t="str">
        <f t="shared" si="9"/>
        <v xml:space="preserve"> </v>
      </c>
    </row>
    <row r="106" spans="8:14" ht="15" x14ac:dyDescent="0.25">
      <c r="H106" s="50" t="str">
        <f t="shared" si="10"/>
        <v xml:space="preserve"> </v>
      </c>
      <c r="I106" s="51" t="str">
        <f t="shared" si="6"/>
        <v/>
      </c>
      <c r="J106" s="106" t="str">
        <f t="shared" si="11"/>
        <v xml:space="preserve"> </v>
      </c>
      <c r="K106" s="106" t="str">
        <f t="shared" si="7"/>
        <v xml:space="preserve"> </v>
      </c>
      <c r="L106" s="51" t="str">
        <f t="shared" si="8"/>
        <v xml:space="preserve"> </v>
      </c>
      <c r="M106" s="51"/>
      <c r="N106" s="51" t="str">
        <f t="shared" si="9"/>
        <v xml:space="preserve"> </v>
      </c>
    </row>
    <row r="107" spans="8:14" ht="15" x14ac:dyDescent="0.25">
      <c r="H107" s="50" t="str">
        <f t="shared" si="10"/>
        <v xml:space="preserve"> </v>
      </c>
      <c r="I107" s="51" t="str">
        <f t="shared" si="6"/>
        <v/>
      </c>
      <c r="J107" s="106" t="str">
        <f t="shared" si="11"/>
        <v xml:space="preserve"> </v>
      </c>
      <c r="K107" s="106" t="str">
        <f t="shared" si="7"/>
        <v xml:space="preserve"> </v>
      </c>
      <c r="L107" s="51" t="str">
        <f t="shared" si="8"/>
        <v xml:space="preserve"> </v>
      </c>
      <c r="M107" s="51"/>
      <c r="N107" s="51" t="str">
        <f t="shared" si="9"/>
        <v xml:space="preserve"> </v>
      </c>
    </row>
    <row r="108" spans="8:14" ht="15" x14ac:dyDescent="0.25">
      <c r="H108" s="50" t="str">
        <f t="shared" si="10"/>
        <v xml:space="preserve"> </v>
      </c>
      <c r="I108" s="51" t="str">
        <f t="shared" si="6"/>
        <v/>
      </c>
      <c r="J108" s="106" t="str">
        <f t="shared" si="11"/>
        <v xml:space="preserve"> </v>
      </c>
      <c r="K108" s="106" t="str">
        <f t="shared" si="7"/>
        <v xml:space="preserve"> </v>
      </c>
      <c r="L108" s="51" t="str">
        <f t="shared" si="8"/>
        <v xml:space="preserve"> </v>
      </c>
      <c r="M108" s="51"/>
      <c r="N108" s="51" t="str">
        <f t="shared" si="9"/>
        <v xml:space="preserve"> </v>
      </c>
    </row>
    <row r="109" spans="8:14" ht="15" x14ac:dyDescent="0.25">
      <c r="H109" s="50" t="str">
        <f t="shared" si="10"/>
        <v xml:space="preserve"> </v>
      </c>
      <c r="I109" s="51" t="str">
        <f t="shared" si="6"/>
        <v/>
      </c>
      <c r="J109" s="106" t="str">
        <f t="shared" si="11"/>
        <v xml:space="preserve"> </v>
      </c>
      <c r="K109" s="106" t="str">
        <f t="shared" si="7"/>
        <v xml:space="preserve"> </v>
      </c>
      <c r="L109" s="51" t="str">
        <f t="shared" si="8"/>
        <v xml:space="preserve"> </v>
      </c>
      <c r="M109" s="51"/>
      <c r="N109" s="51" t="str">
        <f t="shared" si="9"/>
        <v xml:space="preserve"> </v>
      </c>
    </row>
    <row r="110" spans="8:14" ht="15" x14ac:dyDescent="0.25">
      <c r="H110" s="50" t="str">
        <f t="shared" si="10"/>
        <v xml:space="preserve"> </v>
      </c>
      <c r="I110" s="51" t="str">
        <f t="shared" si="6"/>
        <v/>
      </c>
      <c r="J110" s="106" t="str">
        <f t="shared" si="11"/>
        <v xml:space="preserve"> </v>
      </c>
      <c r="K110" s="106" t="str">
        <f t="shared" si="7"/>
        <v xml:space="preserve"> </v>
      </c>
      <c r="L110" s="51" t="str">
        <f t="shared" si="8"/>
        <v xml:space="preserve"> </v>
      </c>
      <c r="M110" s="51"/>
      <c r="N110" s="51" t="str">
        <f t="shared" si="9"/>
        <v xml:space="preserve"> </v>
      </c>
    </row>
    <row r="111" spans="8:14" ht="15" x14ac:dyDescent="0.25">
      <c r="H111" s="50" t="str">
        <f t="shared" si="10"/>
        <v xml:space="preserve"> </v>
      </c>
      <c r="I111" s="51" t="str">
        <f t="shared" si="6"/>
        <v/>
      </c>
      <c r="J111" s="106" t="str">
        <f t="shared" si="11"/>
        <v xml:space="preserve"> </v>
      </c>
      <c r="K111" s="106" t="str">
        <f t="shared" si="7"/>
        <v xml:space="preserve"> </v>
      </c>
      <c r="L111" s="51" t="str">
        <f t="shared" si="8"/>
        <v xml:space="preserve"> </v>
      </c>
      <c r="M111" s="51"/>
      <c r="N111" s="51" t="str">
        <f t="shared" si="9"/>
        <v xml:space="preserve"> </v>
      </c>
    </row>
    <row r="112" spans="8:14" ht="15" x14ac:dyDescent="0.25">
      <c r="H112" s="50" t="str">
        <f t="shared" si="10"/>
        <v xml:space="preserve"> </v>
      </c>
      <c r="I112" s="51" t="str">
        <f t="shared" si="6"/>
        <v/>
      </c>
      <c r="J112" s="106" t="str">
        <f t="shared" si="11"/>
        <v xml:space="preserve"> </v>
      </c>
      <c r="K112" s="106" t="str">
        <f t="shared" si="7"/>
        <v xml:space="preserve"> </v>
      </c>
      <c r="L112" s="51" t="str">
        <f t="shared" si="8"/>
        <v xml:space="preserve"> </v>
      </c>
      <c r="M112" s="51"/>
      <c r="N112" s="51" t="str">
        <f t="shared" si="9"/>
        <v xml:space="preserve"> </v>
      </c>
    </row>
    <row r="113" spans="8:14" ht="15" x14ac:dyDescent="0.25">
      <c r="H113" s="50" t="str">
        <f t="shared" si="10"/>
        <v xml:space="preserve"> </v>
      </c>
      <c r="I113" s="51" t="str">
        <f t="shared" si="6"/>
        <v/>
      </c>
      <c r="J113" s="106" t="str">
        <f t="shared" si="11"/>
        <v xml:space="preserve"> </v>
      </c>
      <c r="K113" s="106" t="str">
        <f t="shared" si="7"/>
        <v xml:space="preserve"> </v>
      </c>
      <c r="L113" s="51" t="str">
        <f t="shared" si="8"/>
        <v xml:space="preserve"> </v>
      </c>
      <c r="M113" s="51"/>
      <c r="N113" s="51" t="str">
        <f t="shared" si="9"/>
        <v xml:space="preserve"> </v>
      </c>
    </row>
    <row r="114" spans="8:14" ht="15" x14ac:dyDescent="0.25">
      <c r="H114" s="50" t="str">
        <f t="shared" si="10"/>
        <v xml:space="preserve"> </v>
      </c>
      <c r="I114" s="51" t="str">
        <f t="shared" si="6"/>
        <v/>
      </c>
      <c r="J114" s="106" t="str">
        <f t="shared" si="11"/>
        <v xml:space="preserve"> </v>
      </c>
      <c r="K114" s="106" t="str">
        <f t="shared" si="7"/>
        <v xml:space="preserve"> </v>
      </c>
      <c r="L114" s="51" t="str">
        <f t="shared" si="8"/>
        <v xml:space="preserve"> </v>
      </c>
      <c r="M114" s="51"/>
      <c r="N114" s="51" t="str">
        <f t="shared" si="9"/>
        <v xml:space="preserve"> </v>
      </c>
    </row>
    <row r="115" spans="8:14" ht="15" x14ac:dyDescent="0.25">
      <c r="H115" s="50" t="str">
        <f t="shared" si="10"/>
        <v xml:space="preserve"> </v>
      </c>
      <c r="I115" s="51" t="str">
        <f t="shared" si="6"/>
        <v/>
      </c>
      <c r="J115" s="106" t="str">
        <f t="shared" si="11"/>
        <v xml:space="preserve"> </v>
      </c>
      <c r="K115" s="106" t="str">
        <f t="shared" si="7"/>
        <v xml:space="preserve"> </v>
      </c>
      <c r="L115" s="51" t="str">
        <f t="shared" si="8"/>
        <v xml:space="preserve"> </v>
      </c>
      <c r="M115" s="51"/>
      <c r="N115" s="51" t="str">
        <f t="shared" si="9"/>
        <v xml:space="preserve"> </v>
      </c>
    </row>
    <row r="116" spans="8:14" ht="15" x14ac:dyDescent="0.25">
      <c r="H116" s="50" t="str">
        <f t="shared" si="10"/>
        <v xml:space="preserve"> </v>
      </c>
      <c r="I116" s="51" t="str">
        <f t="shared" si="6"/>
        <v/>
      </c>
      <c r="J116" s="106" t="str">
        <f t="shared" si="11"/>
        <v xml:space="preserve"> </v>
      </c>
      <c r="K116" s="106" t="str">
        <f t="shared" si="7"/>
        <v xml:space="preserve"> </v>
      </c>
      <c r="L116" s="51" t="str">
        <f t="shared" si="8"/>
        <v xml:space="preserve"> </v>
      </c>
      <c r="M116" s="51"/>
      <c r="N116" s="51" t="str">
        <f t="shared" si="9"/>
        <v xml:space="preserve"> </v>
      </c>
    </row>
    <row r="117" spans="8:14" ht="15" x14ac:dyDescent="0.25">
      <c r="H117" s="50" t="str">
        <f t="shared" si="10"/>
        <v xml:space="preserve"> </v>
      </c>
      <c r="I117" s="51" t="str">
        <f t="shared" si="6"/>
        <v/>
      </c>
      <c r="J117" s="106" t="str">
        <f t="shared" si="11"/>
        <v xml:space="preserve"> </v>
      </c>
      <c r="K117" s="106" t="str">
        <f t="shared" si="7"/>
        <v xml:space="preserve"> </v>
      </c>
      <c r="L117" s="51" t="str">
        <f t="shared" si="8"/>
        <v xml:space="preserve"> </v>
      </c>
      <c r="M117" s="51"/>
      <c r="N117" s="51" t="str">
        <f t="shared" si="9"/>
        <v xml:space="preserve"> </v>
      </c>
    </row>
    <row r="118" spans="8:14" ht="15" x14ac:dyDescent="0.25">
      <c r="H118" s="50" t="str">
        <f t="shared" si="10"/>
        <v xml:space="preserve"> </v>
      </c>
      <c r="I118" s="51" t="str">
        <f t="shared" si="6"/>
        <v/>
      </c>
      <c r="J118" s="106" t="str">
        <f t="shared" si="11"/>
        <v xml:space="preserve"> </v>
      </c>
      <c r="K118" s="106" t="str">
        <f t="shared" si="7"/>
        <v xml:space="preserve"> </v>
      </c>
      <c r="L118" s="51" t="str">
        <f t="shared" si="8"/>
        <v xml:space="preserve"> </v>
      </c>
      <c r="M118" s="51"/>
      <c r="N118" s="51" t="str">
        <f t="shared" si="9"/>
        <v xml:space="preserve"> </v>
      </c>
    </row>
    <row r="119" spans="8:14" ht="15" x14ac:dyDescent="0.25">
      <c r="H119" s="50" t="str">
        <f t="shared" si="10"/>
        <v xml:space="preserve"> </v>
      </c>
      <c r="I119" s="51" t="str">
        <f t="shared" si="6"/>
        <v/>
      </c>
      <c r="J119" s="106" t="str">
        <f t="shared" si="11"/>
        <v xml:space="preserve"> </v>
      </c>
      <c r="K119" s="106" t="str">
        <f t="shared" si="7"/>
        <v xml:space="preserve"> </v>
      </c>
      <c r="L119" s="51" t="str">
        <f t="shared" si="8"/>
        <v xml:space="preserve"> </v>
      </c>
      <c r="M119" s="51"/>
      <c r="N119" s="51" t="str">
        <f t="shared" si="9"/>
        <v xml:space="preserve"> </v>
      </c>
    </row>
    <row r="120" spans="8:14" ht="15" x14ac:dyDescent="0.25">
      <c r="H120" s="50" t="str">
        <f t="shared" si="10"/>
        <v xml:space="preserve"> </v>
      </c>
      <c r="I120" s="51" t="str">
        <f t="shared" si="6"/>
        <v/>
      </c>
      <c r="J120" s="106" t="str">
        <f t="shared" si="11"/>
        <v xml:space="preserve"> </v>
      </c>
      <c r="K120" s="106" t="str">
        <f t="shared" si="7"/>
        <v xml:space="preserve"> </v>
      </c>
      <c r="L120" s="51" t="str">
        <f t="shared" si="8"/>
        <v xml:space="preserve"> </v>
      </c>
      <c r="M120" s="51"/>
      <c r="N120" s="51" t="str">
        <f t="shared" si="9"/>
        <v xml:space="preserve"> </v>
      </c>
    </row>
    <row r="121" spans="8:14" ht="15" x14ac:dyDescent="0.25">
      <c r="H121" s="50" t="str">
        <f t="shared" si="10"/>
        <v xml:space="preserve"> </v>
      </c>
      <c r="I121" s="51" t="str">
        <f t="shared" si="6"/>
        <v/>
      </c>
      <c r="J121" s="106" t="str">
        <f t="shared" si="11"/>
        <v xml:space="preserve"> </v>
      </c>
      <c r="K121" s="106" t="str">
        <f t="shared" si="7"/>
        <v xml:space="preserve"> </v>
      </c>
      <c r="L121" s="51" t="str">
        <f t="shared" si="8"/>
        <v xml:space="preserve"> </v>
      </c>
      <c r="M121" s="51"/>
      <c r="N121" s="51" t="str">
        <f t="shared" si="9"/>
        <v xml:space="preserve"> </v>
      </c>
    </row>
    <row r="122" spans="8:14" ht="15" x14ac:dyDescent="0.25">
      <c r="H122" s="50" t="str">
        <f t="shared" si="10"/>
        <v xml:space="preserve"> </v>
      </c>
      <c r="I122" s="51" t="str">
        <f t="shared" si="6"/>
        <v/>
      </c>
      <c r="J122" s="106" t="str">
        <f t="shared" si="11"/>
        <v xml:space="preserve"> </v>
      </c>
      <c r="K122" s="106" t="str">
        <f t="shared" si="7"/>
        <v xml:space="preserve"> </v>
      </c>
      <c r="L122" s="51" t="str">
        <f t="shared" si="8"/>
        <v xml:space="preserve"> </v>
      </c>
      <c r="M122" s="51"/>
      <c r="N122" s="51" t="str">
        <f t="shared" si="9"/>
        <v xml:space="preserve"> </v>
      </c>
    </row>
    <row r="123" spans="8:14" ht="15" x14ac:dyDescent="0.25">
      <c r="H123" s="50" t="str">
        <f t="shared" si="10"/>
        <v xml:space="preserve"> </v>
      </c>
      <c r="I123" s="51" t="str">
        <f t="shared" si="6"/>
        <v/>
      </c>
      <c r="J123" s="106" t="str">
        <f t="shared" si="11"/>
        <v xml:space="preserve"> </v>
      </c>
      <c r="K123" s="106" t="str">
        <f t="shared" si="7"/>
        <v xml:space="preserve"> </v>
      </c>
      <c r="L123" s="51" t="str">
        <f t="shared" si="8"/>
        <v xml:space="preserve"> </v>
      </c>
      <c r="M123" s="51"/>
      <c r="N123" s="51" t="str">
        <f t="shared" si="9"/>
        <v xml:space="preserve"> </v>
      </c>
    </row>
    <row r="124" spans="8:14" ht="15" x14ac:dyDescent="0.25">
      <c r="H124" s="50" t="str">
        <f t="shared" si="10"/>
        <v xml:space="preserve"> </v>
      </c>
      <c r="I124" s="51" t="str">
        <f t="shared" si="6"/>
        <v/>
      </c>
      <c r="J124" s="106" t="str">
        <f t="shared" si="11"/>
        <v xml:space="preserve"> </v>
      </c>
      <c r="K124" s="106" t="str">
        <f t="shared" si="7"/>
        <v xml:space="preserve"> </v>
      </c>
      <c r="L124" s="51" t="str">
        <f t="shared" si="8"/>
        <v xml:space="preserve"> </v>
      </c>
      <c r="M124" s="51"/>
      <c r="N124" s="51" t="str">
        <f t="shared" si="9"/>
        <v xml:space="preserve"> </v>
      </c>
    </row>
    <row r="125" spans="8:14" ht="15" x14ac:dyDescent="0.25">
      <c r="H125" s="50" t="str">
        <f t="shared" si="10"/>
        <v xml:space="preserve"> </v>
      </c>
      <c r="I125" s="51" t="str">
        <f t="shared" si="6"/>
        <v/>
      </c>
      <c r="J125" s="106" t="str">
        <f t="shared" si="11"/>
        <v xml:space="preserve"> </v>
      </c>
      <c r="K125" s="106" t="str">
        <f t="shared" si="7"/>
        <v xml:space="preserve"> </v>
      </c>
      <c r="L125" s="51" t="str">
        <f t="shared" si="8"/>
        <v xml:space="preserve"> </v>
      </c>
      <c r="M125" s="51"/>
      <c r="N125" s="51" t="str">
        <f t="shared" si="9"/>
        <v xml:space="preserve"> </v>
      </c>
    </row>
    <row r="126" spans="8:14" ht="15" x14ac:dyDescent="0.25">
      <c r="H126" s="50" t="str">
        <f t="shared" si="10"/>
        <v xml:space="preserve"> </v>
      </c>
      <c r="I126" s="51" t="str">
        <f t="shared" si="6"/>
        <v/>
      </c>
      <c r="J126" s="106" t="str">
        <f t="shared" si="11"/>
        <v xml:space="preserve"> </v>
      </c>
      <c r="K126" s="106" t="str">
        <f t="shared" si="7"/>
        <v xml:space="preserve"> </v>
      </c>
      <c r="L126" s="51" t="str">
        <f t="shared" si="8"/>
        <v xml:space="preserve"> </v>
      </c>
      <c r="M126" s="51"/>
      <c r="N126" s="51" t="str">
        <f t="shared" si="9"/>
        <v xml:space="preserve"> </v>
      </c>
    </row>
    <row r="127" spans="8:14" ht="15" x14ac:dyDescent="0.25">
      <c r="H127" s="50" t="str">
        <f t="shared" si="10"/>
        <v xml:space="preserve"> </v>
      </c>
      <c r="I127" s="51" t="str">
        <f t="shared" si="6"/>
        <v/>
      </c>
      <c r="J127" s="106" t="str">
        <f t="shared" si="11"/>
        <v xml:space="preserve"> </v>
      </c>
      <c r="K127" s="106" t="str">
        <f t="shared" si="7"/>
        <v xml:space="preserve"> </v>
      </c>
      <c r="L127" s="51" t="str">
        <f t="shared" si="8"/>
        <v xml:space="preserve"> </v>
      </c>
      <c r="M127" s="51"/>
      <c r="N127" s="51" t="str">
        <f t="shared" si="9"/>
        <v xml:space="preserve"> </v>
      </c>
    </row>
    <row r="128" spans="8:14" ht="15" x14ac:dyDescent="0.25">
      <c r="H128" s="50" t="str">
        <f t="shared" si="10"/>
        <v xml:space="preserve"> </v>
      </c>
      <c r="I128" s="51" t="str">
        <f t="shared" si="6"/>
        <v/>
      </c>
      <c r="J128" s="106" t="str">
        <f t="shared" si="11"/>
        <v xml:space="preserve"> </v>
      </c>
      <c r="K128" s="106" t="str">
        <f t="shared" si="7"/>
        <v xml:space="preserve"> </v>
      </c>
      <c r="L128" s="51" t="str">
        <f t="shared" si="8"/>
        <v xml:space="preserve"> </v>
      </c>
      <c r="M128" s="51"/>
      <c r="N128" s="51" t="str">
        <f t="shared" si="9"/>
        <v xml:space="preserve"> </v>
      </c>
    </row>
    <row r="129" spans="8:14" ht="15" x14ac:dyDescent="0.25">
      <c r="H129" s="50" t="str">
        <f t="shared" si="10"/>
        <v xml:space="preserve"> </v>
      </c>
      <c r="I129" s="51" t="str">
        <f t="shared" si="6"/>
        <v/>
      </c>
      <c r="J129" s="106" t="str">
        <f t="shared" si="11"/>
        <v xml:space="preserve"> </v>
      </c>
      <c r="K129" s="106" t="str">
        <f t="shared" si="7"/>
        <v xml:space="preserve"> </v>
      </c>
      <c r="L129" s="51" t="str">
        <f t="shared" si="8"/>
        <v xml:space="preserve"> </v>
      </c>
      <c r="M129" s="51"/>
      <c r="N129" s="51" t="str">
        <f t="shared" si="9"/>
        <v xml:space="preserve"> </v>
      </c>
    </row>
    <row r="130" spans="8:14" ht="15" x14ac:dyDescent="0.25">
      <c r="H130" s="50" t="str">
        <f t="shared" si="10"/>
        <v xml:space="preserve"> </v>
      </c>
      <c r="I130" s="51" t="str">
        <f t="shared" si="6"/>
        <v/>
      </c>
      <c r="J130" s="106" t="str">
        <f t="shared" si="11"/>
        <v xml:space="preserve"> </v>
      </c>
      <c r="K130" s="106" t="str">
        <f t="shared" si="7"/>
        <v xml:space="preserve"> </v>
      </c>
      <c r="L130" s="51" t="str">
        <f t="shared" si="8"/>
        <v xml:space="preserve"> </v>
      </c>
      <c r="M130" s="51"/>
      <c r="N130" s="51" t="str">
        <f t="shared" si="9"/>
        <v xml:space="preserve"> </v>
      </c>
    </row>
    <row r="131" spans="8:14" ht="15" x14ac:dyDescent="0.25">
      <c r="H131" s="50" t="str">
        <f t="shared" si="10"/>
        <v xml:space="preserve"> </v>
      </c>
      <c r="I131" s="51" t="str">
        <f t="shared" si="6"/>
        <v/>
      </c>
      <c r="J131" s="106" t="str">
        <f t="shared" si="11"/>
        <v xml:space="preserve"> </v>
      </c>
      <c r="K131" s="106" t="str">
        <f t="shared" si="7"/>
        <v xml:space="preserve"> </v>
      </c>
      <c r="L131" s="51" t="str">
        <f t="shared" si="8"/>
        <v xml:space="preserve"> </v>
      </c>
      <c r="M131" s="51"/>
      <c r="N131" s="51" t="str">
        <f t="shared" si="9"/>
        <v xml:space="preserve"> </v>
      </c>
    </row>
    <row r="132" spans="8:14" ht="15" x14ac:dyDescent="0.25">
      <c r="H132" s="50" t="str">
        <f t="shared" si="10"/>
        <v xml:space="preserve"> </v>
      </c>
      <c r="I132" s="51" t="str">
        <f t="shared" si="6"/>
        <v/>
      </c>
      <c r="J132" s="106" t="str">
        <f t="shared" si="11"/>
        <v xml:space="preserve"> </v>
      </c>
      <c r="K132" s="106" t="str">
        <f t="shared" si="7"/>
        <v xml:space="preserve"> </v>
      </c>
      <c r="L132" s="51" t="str">
        <f t="shared" si="8"/>
        <v xml:space="preserve"> </v>
      </c>
      <c r="M132" s="51"/>
      <c r="N132" s="51" t="str">
        <f t="shared" si="9"/>
        <v xml:space="preserve"> </v>
      </c>
    </row>
    <row r="133" spans="8:14" ht="15" x14ac:dyDescent="0.25">
      <c r="H133" s="50" t="str">
        <f t="shared" si="10"/>
        <v xml:space="preserve"> </v>
      </c>
      <c r="I133" s="51" t="str">
        <f t="shared" si="6"/>
        <v/>
      </c>
      <c r="J133" s="106" t="str">
        <f t="shared" si="11"/>
        <v xml:space="preserve"> </v>
      </c>
      <c r="K133" s="106" t="str">
        <f t="shared" si="7"/>
        <v xml:space="preserve"> </v>
      </c>
      <c r="L133" s="51" t="str">
        <f t="shared" si="8"/>
        <v xml:space="preserve"> </v>
      </c>
      <c r="M133" s="51"/>
      <c r="N133" s="51" t="str">
        <f t="shared" si="9"/>
        <v xml:space="preserve"> </v>
      </c>
    </row>
    <row r="134" spans="8:14" ht="15" x14ac:dyDescent="0.25">
      <c r="H134" s="50" t="str">
        <f t="shared" si="10"/>
        <v xml:space="preserve"> </v>
      </c>
      <c r="I134" s="51" t="str">
        <f t="shared" si="6"/>
        <v/>
      </c>
      <c r="J134" s="106" t="str">
        <f t="shared" si="11"/>
        <v xml:space="preserve"> </v>
      </c>
      <c r="K134" s="106" t="str">
        <f t="shared" si="7"/>
        <v xml:space="preserve"> </v>
      </c>
      <c r="L134" s="51" t="str">
        <f t="shared" si="8"/>
        <v xml:space="preserve"> </v>
      </c>
      <c r="M134" s="51"/>
      <c r="N134" s="51" t="str">
        <f t="shared" si="9"/>
        <v xml:space="preserve"> </v>
      </c>
    </row>
    <row r="135" spans="8:14" ht="15" x14ac:dyDescent="0.25">
      <c r="H135" s="50" t="str">
        <f t="shared" si="10"/>
        <v xml:space="preserve"> </v>
      </c>
      <c r="I135" s="51" t="str">
        <f t="shared" si="6"/>
        <v/>
      </c>
      <c r="J135" s="106" t="str">
        <f t="shared" si="11"/>
        <v xml:space="preserve"> </v>
      </c>
      <c r="K135" s="106" t="str">
        <f t="shared" si="7"/>
        <v xml:space="preserve"> </v>
      </c>
      <c r="L135" s="51" t="str">
        <f t="shared" si="8"/>
        <v xml:space="preserve"> </v>
      </c>
      <c r="M135" s="51"/>
      <c r="N135" s="51" t="str">
        <f t="shared" si="9"/>
        <v xml:space="preserve"> </v>
      </c>
    </row>
    <row r="136" spans="8:14" ht="15" x14ac:dyDescent="0.25">
      <c r="H136" s="50" t="str">
        <f t="shared" si="10"/>
        <v xml:space="preserve"> </v>
      </c>
      <c r="I136" s="51" t="str">
        <f t="shared" si="6"/>
        <v/>
      </c>
      <c r="J136" s="106" t="str">
        <f t="shared" si="11"/>
        <v xml:space="preserve"> </v>
      </c>
      <c r="K136" s="106" t="str">
        <f t="shared" si="7"/>
        <v xml:space="preserve"> </v>
      </c>
      <c r="L136" s="51" t="str">
        <f t="shared" si="8"/>
        <v xml:space="preserve"> </v>
      </c>
      <c r="M136" s="51"/>
      <c r="N136" s="51" t="str">
        <f t="shared" si="9"/>
        <v xml:space="preserve"> </v>
      </c>
    </row>
    <row r="137" spans="8:14" ht="15" x14ac:dyDescent="0.25">
      <c r="H137" s="50" t="str">
        <f t="shared" si="10"/>
        <v xml:space="preserve"> </v>
      </c>
      <c r="I137" s="51" t="str">
        <f t="shared" si="6"/>
        <v/>
      </c>
      <c r="J137" s="106" t="str">
        <f t="shared" si="11"/>
        <v xml:space="preserve"> </v>
      </c>
      <c r="K137" s="106" t="str">
        <f t="shared" si="7"/>
        <v xml:space="preserve"> </v>
      </c>
      <c r="L137" s="51" t="str">
        <f t="shared" si="8"/>
        <v xml:space="preserve"> </v>
      </c>
      <c r="M137" s="51"/>
      <c r="N137" s="51" t="str">
        <f t="shared" si="9"/>
        <v xml:space="preserve"> </v>
      </c>
    </row>
    <row r="138" spans="8:14" ht="15" x14ac:dyDescent="0.25">
      <c r="H138" s="50" t="str">
        <f t="shared" si="10"/>
        <v xml:space="preserve"> </v>
      </c>
      <c r="I138" s="51" t="str">
        <f t="shared" si="6"/>
        <v/>
      </c>
      <c r="J138" s="106" t="str">
        <f t="shared" si="11"/>
        <v xml:space="preserve"> </v>
      </c>
      <c r="K138" s="106" t="str">
        <f t="shared" si="7"/>
        <v xml:space="preserve"> </v>
      </c>
      <c r="L138" s="51" t="str">
        <f t="shared" si="8"/>
        <v xml:space="preserve"> </v>
      </c>
      <c r="M138" s="51"/>
      <c r="N138" s="51" t="str">
        <f t="shared" si="9"/>
        <v xml:space="preserve"> </v>
      </c>
    </row>
    <row r="139" spans="8:14" ht="15" x14ac:dyDescent="0.25">
      <c r="H139" s="50" t="str">
        <f t="shared" si="10"/>
        <v xml:space="preserve"> </v>
      </c>
      <c r="I139" s="51" t="str">
        <f t="shared" si="6"/>
        <v/>
      </c>
      <c r="J139" s="106" t="str">
        <f t="shared" si="11"/>
        <v xml:space="preserve"> </v>
      </c>
      <c r="K139" s="106" t="str">
        <f t="shared" si="7"/>
        <v xml:space="preserve"> </v>
      </c>
      <c r="L139" s="51" t="str">
        <f t="shared" si="8"/>
        <v xml:space="preserve"> </v>
      </c>
      <c r="M139" s="51"/>
      <c r="N139" s="51" t="str">
        <f t="shared" si="9"/>
        <v xml:space="preserve"> </v>
      </c>
    </row>
    <row r="140" spans="8:14" ht="15" x14ac:dyDescent="0.25">
      <c r="H140" s="50" t="str">
        <f t="shared" si="10"/>
        <v xml:space="preserve"> </v>
      </c>
      <c r="I140" s="51" t="str">
        <f t="shared" si="6"/>
        <v/>
      </c>
      <c r="J140" s="106" t="str">
        <f t="shared" si="11"/>
        <v xml:space="preserve"> </v>
      </c>
      <c r="K140" s="106" t="str">
        <f t="shared" si="7"/>
        <v xml:space="preserve"> </v>
      </c>
      <c r="L140" s="51" t="str">
        <f t="shared" si="8"/>
        <v xml:space="preserve"> </v>
      </c>
      <c r="M140" s="51"/>
      <c r="N140" s="51" t="str">
        <f t="shared" si="9"/>
        <v xml:space="preserve"> </v>
      </c>
    </row>
    <row r="141" spans="8:14" ht="15" x14ac:dyDescent="0.25">
      <c r="H141" s="50" t="str">
        <f t="shared" si="10"/>
        <v xml:space="preserve"> </v>
      </c>
      <c r="I141" s="51" t="str">
        <f t="shared" si="6"/>
        <v/>
      </c>
      <c r="J141" s="106" t="str">
        <f t="shared" si="11"/>
        <v xml:space="preserve"> </v>
      </c>
      <c r="K141" s="106" t="str">
        <f t="shared" si="7"/>
        <v xml:space="preserve"> </v>
      </c>
      <c r="L141" s="51" t="str">
        <f t="shared" si="8"/>
        <v xml:space="preserve"> </v>
      </c>
      <c r="M141" s="51"/>
      <c r="N141" s="51" t="str">
        <f t="shared" si="9"/>
        <v xml:space="preserve"> </v>
      </c>
    </row>
    <row r="142" spans="8:14" ht="15" x14ac:dyDescent="0.25">
      <c r="H142" s="50" t="str">
        <f t="shared" si="10"/>
        <v xml:space="preserve"> </v>
      </c>
      <c r="I142" s="51" t="str">
        <f t="shared" si="6"/>
        <v/>
      </c>
      <c r="J142" s="106" t="str">
        <f t="shared" si="11"/>
        <v xml:space="preserve"> </v>
      </c>
      <c r="K142" s="106" t="str">
        <f t="shared" si="7"/>
        <v xml:space="preserve"> </v>
      </c>
      <c r="L142" s="51" t="str">
        <f t="shared" si="8"/>
        <v xml:space="preserve"> </v>
      </c>
      <c r="M142" s="51"/>
      <c r="N142" s="51" t="str">
        <f t="shared" si="9"/>
        <v xml:space="preserve"> </v>
      </c>
    </row>
    <row r="143" spans="8:14" ht="15" x14ac:dyDescent="0.25">
      <c r="H143" s="50" t="str">
        <f t="shared" si="10"/>
        <v xml:space="preserve"> </v>
      </c>
      <c r="I143" s="51" t="str">
        <f t="shared" si="6"/>
        <v/>
      </c>
      <c r="J143" s="106" t="str">
        <f t="shared" si="11"/>
        <v xml:space="preserve"> </v>
      </c>
      <c r="K143" s="106" t="str">
        <f t="shared" si="7"/>
        <v xml:space="preserve"> </v>
      </c>
      <c r="L143" s="51" t="str">
        <f t="shared" si="8"/>
        <v xml:space="preserve"> </v>
      </c>
      <c r="M143" s="51"/>
      <c r="N143" s="51" t="str">
        <f t="shared" si="9"/>
        <v xml:space="preserve"> </v>
      </c>
    </row>
    <row r="144" spans="8:14" ht="15" x14ac:dyDescent="0.25">
      <c r="H144" s="50" t="str">
        <f t="shared" si="10"/>
        <v xml:space="preserve"> </v>
      </c>
      <c r="I144" s="51" t="str">
        <f t="shared" si="6"/>
        <v/>
      </c>
      <c r="J144" s="106" t="str">
        <f t="shared" si="11"/>
        <v xml:space="preserve"> </v>
      </c>
      <c r="K144" s="106" t="str">
        <f t="shared" si="7"/>
        <v xml:space="preserve"> </v>
      </c>
      <c r="L144" s="51" t="str">
        <f t="shared" si="8"/>
        <v xml:space="preserve"> </v>
      </c>
      <c r="M144" s="51"/>
      <c r="N144" s="51" t="str">
        <f t="shared" si="9"/>
        <v xml:space="preserve"> </v>
      </c>
    </row>
    <row r="145" spans="8:14" ht="15" x14ac:dyDescent="0.25">
      <c r="H145" s="50" t="str">
        <f t="shared" si="10"/>
        <v xml:space="preserve"> </v>
      </c>
      <c r="I145" s="51" t="str">
        <f t="shared" ref="I145:I208" si="12">IF(H144&lt;=$S$15,IF(credito="Francesa",IF(H145&lt;=$S$15,$I144,0),IF(credito="Alemana",IF(H145&lt;=$S$15,J145+K145,0))),"")</f>
        <v/>
      </c>
      <c r="J145" s="106" t="str">
        <f t="shared" si="11"/>
        <v xml:space="preserve"> </v>
      </c>
      <c r="K145" s="106" t="str">
        <f t="shared" ref="K145:K208" si="13">IF(H145&lt;=$S$15,IF(credito="Francesa",I145-J145,IF(credito="Alemana",IF(H145&lt;=$S$15,$K144,0)))," ")</f>
        <v xml:space="preserve"> </v>
      </c>
      <c r="L145" s="51" t="str">
        <f t="shared" ref="L145:L208" si="14">IF(H145&lt;=$S$15,L144-K145," ")</f>
        <v xml:space="preserve"> </v>
      </c>
      <c r="M145" s="51"/>
      <c r="N145" s="51" t="str">
        <f t="shared" ref="N145:N208" si="15">IF(H145&lt;=$S$15,-I145," ")</f>
        <v xml:space="preserve"> </v>
      </c>
    </row>
    <row r="146" spans="8:14" ht="15" x14ac:dyDescent="0.25">
      <c r="H146" s="50" t="str">
        <f t="shared" ref="H146:H209" si="16">IF($H145&gt;=$S$15," ",H145+1)</f>
        <v xml:space="preserve"> </v>
      </c>
      <c r="I146" s="51" t="str">
        <f t="shared" si="12"/>
        <v/>
      </c>
      <c r="J146" s="106" t="str">
        <f t="shared" ref="J146:J209" si="17">IF(H146&lt;=$S$15,L145*$D$26/$D$22," ")</f>
        <v xml:space="preserve"> </v>
      </c>
      <c r="K146" s="106" t="str">
        <f t="shared" si="13"/>
        <v xml:space="preserve"> </v>
      </c>
      <c r="L146" s="51" t="str">
        <f t="shared" si="14"/>
        <v xml:space="preserve"> </v>
      </c>
      <c r="M146" s="51"/>
      <c r="N146" s="51" t="str">
        <f t="shared" si="15"/>
        <v xml:space="preserve"> </v>
      </c>
    </row>
    <row r="147" spans="8:14" ht="15" x14ac:dyDescent="0.25">
      <c r="H147" s="50" t="str">
        <f t="shared" si="16"/>
        <v xml:space="preserve"> </v>
      </c>
      <c r="I147" s="51" t="str">
        <f t="shared" si="12"/>
        <v/>
      </c>
      <c r="J147" s="106" t="str">
        <f t="shared" si="17"/>
        <v xml:space="preserve"> </v>
      </c>
      <c r="K147" s="106" t="str">
        <f t="shared" si="13"/>
        <v xml:space="preserve"> </v>
      </c>
      <c r="L147" s="51" t="str">
        <f t="shared" si="14"/>
        <v xml:space="preserve"> </v>
      </c>
      <c r="M147" s="51"/>
      <c r="N147" s="51" t="str">
        <f t="shared" si="15"/>
        <v xml:space="preserve"> </v>
      </c>
    </row>
    <row r="148" spans="8:14" ht="15" x14ac:dyDescent="0.25">
      <c r="H148" s="50" t="str">
        <f t="shared" si="16"/>
        <v xml:space="preserve"> </v>
      </c>
      <c r="I148" s="51" t="str">
        <f t="shared" si="12"/>
        <v/>
      </c>
      <c r="J148" s="106" t="str">
        <f t="shared" si="17"/>
        <v xml:space="preserve"> </v>
      </c>
      <c r="K148" s="106" t="str">
        <f t="shared" si="13"/>
        <v xml:space="preserve"> </v>
      </c>
      <c r="L148" s="51" t="str">
        <f t="shared" si="14"/>
        <v xml:space="preserve"> </v>
      </c>
      <c r="M148" s="51"/>
      <c r="N148" s="51" t="str">
        <f t="shared" si="15"/>
        <v xml:space="preserve"> </v>
      </c>
    </row>
    <row r="149" spans="8:14" ht="15" x14ac:dyDescent="0.25">
      <c r="H149" s="50" t="str">
        <f t="shared" si="16"/>
        <v xml:space="preserve"> </v>
      </c>
      <c r="I149" s="51" t="str">
        <f t="shared" si="12"/>
        <v/>
      </c>
      <c r="J149" s="106" t="str">
        <f t="shared" si="17"/>
        <v xml:space="preserve"> </v>
      </c>
      <c r="K149" s="106" t="str">
        <f t="shared" si="13"/>
        <v xml:space="preserve"> </v>
      </c>
      <c r="L149" s="51" t="str">
        <f t="shared" si="14"/>
        <v xml:space="preserve"> </v>
      </c>
      <c r="M149" s="51"/>
      <c r="N149" s="51" t="str">
        <f t="shared" si="15"/>
        <v xml:space="preserve"> </v>
      </c>
    </row>
    <row r="150" spans="8:14" ht="15" x14ac:dyDescent="0.25">
      <c r="H150" s="50" t="str">
        <f t="shared" si="16"/>
        <v xml:space="preserve"> </v>
      </c>
      <c r="I150" s="51" t="str">
        <f t="shared" si="12"/>
        <v/>
      </c>
      <c r="J150" s="106" t="str">
        <f t="shared" si="17"/>
        <v xml:space="preserve"> </v>
      </c>
      <c r="K150" s="106" t="str">
        <f t="shared" si="13"/>
        <v xml:space="preserve"> </v>
      </c>
      <c r="L150" s="51" t="str">
        <f t="shared" si="14"/>
        <v xml:space="preserve"> </v>
      </c>
      <c r="M150" s="51"/>
      <c r="N150" s="51" t="str">
        <f t="shared" si="15"/>
        <v xml:space="preserve"> </v>
      </c>
    </row>
    <row r="151" spans="8:14" ht="15" x14ac:dyDescent="0.25">
      <c r="H151" s="50" t="str">
        <f t="shared" si="16"/>
        <v xml:space="preserve"> </v>
      </c>
      <c r="I151" s="51" t="str">
        <f t="shared" si="12"/>
        <v/>
      </c>
      <c r="J151" s="106" t="str">
        <f t="shared" si="17"/>
        <v xml:space="preserve"> </v>
      </c>
      <c r="K151" s="106" t="str">
        <f t="shared" si="13"/>
        <v xml:space="preserve"> </v>
      </c>
      <c r="L151" s="51" t="str">
        <f t="shared" si="14"/>
        <v xml:space="preserve"> </v>
      </c>
      <c r="M151" s="51"/>
      <c r="N151" s="51" t="str">
        <f t="shared" si="15"/>
        <v xml:space="preserve"> </v>
      </c>
    </row>
    <row r="152" spans="8:14" ht="15" x14ac:dyDescent="0.25">
      <c r="H152" s="50" t="str">
        <f t="shared" si="16"/>
        <v xml:space="preserve"> </v>
      </c>
      <c r="I152" s="51" t="str">
        <f t="shared" si="12"/>
        <v/>
      </c>
      <c r="J152" s="106" t="str">
        <f t="shared" si="17"/>
        <v xml:space="preserve"> </v>
      </c>
      <c r="K152" s="106" t="str">
        <f t="shared" si="13"/>
        <v xml:space="preserve"> </v>
      </c>
      <c r="L152" s="51" t="str">
        <f t="shared" si="14"/>
        <v xml:space="preserve"> </v>
      </c>
      <c r="M152" s="51"/>
      <c r="N152" s="51" t="str">
        <f t="shared" si="15"/>
        <v xml:space="preserve"> </v>
      </c>
    </row>
    <row r="153" spans="8:14" ht="15" x14ac:dyDescent="0.25">
      <c r="H153" s="50" t="str">
        <f t="shared" si="16"/>
        <v xml:space="preserve"> </v>
      </c>
      <c r="I153" s="51" t="str">
        <f t="shared" si="12"/>
        <v/>
      </c>
      <c r="J153" s="106" t="str">
        <f t="shared" si="17"/>
        <v xml:space="preserve"> </v>
      </c>
      <c r="K153" s="106" t="str">
        <f t="shared" si="13"/>
        <v xml:space="preserve"> </v>
      </c>
      <c r="L153" s="51" t="str">
        <f t="shared" si="14"/>
        <v xml:space="preserve"> </v>
      </c>
      <c r="M153" s="51"/>
      <c r="N153" s="51" t="str">
        <f t="shared" si="15"/>
        <v xml:space="preserve"> </v>
      </c>
    </row>
    <row r="154" spans="8:14" ht="15" x14ac:dyDescent="0.25">
      <c r="H154" s="50" t="str">
        <f t="shared" si="16"/>
        <v xml:space="preserve"> </v>
      </c>
      <c r="I154" s="51" t="str">
        <f t="shared" si="12"/>
        <v/>
      </c>
      <c r="J154" s="106" t="str">
        <f t="shared" si="17"/>
        <v xml:space="preserve"> </v>
      </c>
      <c r="K154" s="106" t="str">
        <f t="shared" si="13"/>
        <v xml:space="preserve"> </v>
      </c>
      <c r="L154" s="51" t="str">
        <f t="shared" si="14"/>
        <v xml:space="preserve"> </v>
      </c>
      <c r="M154" s="51"/>
      <c r="N154" s="51" t="str">
        <f t="shared" si="15"/>
        <v xml:space="preserve"> </v>
      </c>
    </row>
    <row r="155" spans="8:14" ht="15" x14ac:dyDescent="0.25">
      <c r="H155" s="50" t="str">
        <f t="shared" si="16"/>
        <v xml:space="preserve"> </v>
      </c>
      <c r="I155" s="51" t="str">
        <f t="shared" si="12"/>
        <v/>
      </c>
      <c r="J155" s="106" t="str">
        <f t="shared" si="17"/>
        <v xml:space="preserve"> </v>
      </c>
      <c r="K155" s="106" t="str">
        <f t="shared" si="13"/>
        <v xml:space="preserve"> </v>
      </c>
      <c r="L155" s="51" t="str">
        <f t="shared" si="14"/>
        <v xml:space="preserve"> </v>
      </c>
      <c r="M155" s="51"/>
      <c r="N155" s="51" t="str">
        <f t="shared" si="15"/>
        <v xml:space="preserve"> </v>
      </c>
    </row>
    <row r="156" spans="8:14" ht="15" x14ac:dyDescent="0.25">
      <c r="H156" s="50" t="str">
        <f t="shared" si="16"/>
        <v xml:space="preserve"> </v>
      </c>
      <c r="I156" s="51" t="str">
        <f t="shared" si="12"/>
        <v/>
      </c>
      <c r="J156" s="106" t="str">
        <f t="shared" si="17"/>
        <v xml:space="preserve"> </v>
      </c>
      <c r="K156" s="106" t="str">
        <f t="shared" si="13"/>
        <v xml:space="preserve"> </v>
      </c>
      <c r="L156" s="51" t="str">
        <f t="shared" si="14"/>
        <v xml:space="preserve"> </v>
      </c>
      <c r="M156" s="51"/>
      <c r="N156" s="51" t="str">
        <f t="shared" si="15"/>
        <v xml:space="preserve"> </v>
      </c>
    </row>
    <row r="157" spans="8:14" ht="15" x14ac:dyDescent="0.25">
      <c r="H157" s="50" t="str">
        <f t="shared" si="16"/>
        <v xml:space="preserve"> </v>
      </c>
      <c r="I157" s="51" t="str">
        <f t="shared" si="12"/>
        <v/>
      </c>
      <c r="J157" s="106" t="str">
        <f t="shared" si="17"/>
        <v xml:space="preserve"> </v>
      </c>
      <c r="K157" s="106" t="str">
        <f t="shared" si="13"/>
        <v xml:space="preserve"> </v>
      </c>
      <c r="L157" s="51" t="str">
        <f t="shared" si="14"/>
        <v xml:space="preserve"> </v>
      </c>
      <c r="M157" s="51"/>
      <c r="N157" s="51" t="str">
        <f t="shared" si="15"/>
        <v xml:space="preserve"> </v>
      </c>
    </row>
    <row r="158" spans="8:14" ht="15" x14ac:dyDescent="0.25">
      <c r="H158" s="50" t="str">
        <f t="shared" si="16"/>
        <v xml:space="preserve"> </v>
      </c>
      <c r="I158" s="51" t="str">
        <f t="shared" si="12"/>
        <v/>
      </c>
      <c r="J158" s="106" t="str">
        <f t="shared" si="17"/>
        <v xml:space="preserve"> </v>
      </c>
      <c r="K158" s="106" t="str">
        <f t="shared" si="13"/>
        <v xml:space="preserve"> </v>
      </c>
      <c r="L158" s="51" t="str">
        <f t="shared" si="14"/>
        <v xml:space="preserve"> </v>
      </c>
      <c r="M158" s="51"/>
      <c r="N158" s="51" t="str">
        <f t="shared" si="15"/>
        <v xml:space="preserve"> </v>
      </c>
    </row>
    <row r="159" spans="8:14" ht="15" x14ac:dyDescent="0.25">
      <c r="H159" s="50" t="str">
        <f t="shared" si="16"/>
        <v xml:space="preserve"> </v>
      </c>
      <c r="I159" s="51" t="str">
        <f t="shared" si="12"/>
        <v/>
      </c>
      <c r="J159" s="106" t="str">
        <f t="shared" si="17"/>
        <v xml:space="preserve"> </v>
      </c>
      <c r="K159" s="106" t="str">
        <f t="shared" si="13"/>
        <v xml:space="preserve"> </v>
      </c>
      <c r="L159" s="51" t="str">
        <f t="shared" si="14"/>
        <v xml:space="preserve"> </v>
      </c>
      <c r="M159" s="51"/>
      <c r="N159" s="51" t="str">
        <f t="shared" si="15"/>
        <v xml:space="preserve"> </v>
      </c>
    </row>
    <row r="160" spans="8:14" ht="15" x14ac:dyDescent="0.25">
      <c r="H160" s="50" t="str">
        <f t="shared" si="16"/>
        <v xml:space="preserve"> </v>
      </c>
      <c r="I160" s="51" t="str">
        <f t="shared" si="12"/>
        <v/>
      </c>
      <c r="J160" s="106" t="str">
        <f t="shared" si="17"/>
        <v xml:space="preserve"> </v>
      </c>
      <c r="K160" s="106" t="str">
        <f t="shared" si="13"/>
        <v xml:space="preserve"> </v>
      </c>
      <c r="L160" s="51" t="str">
        <f t="shared" si="14"/>
        <v xml:space="preserve"> </v>
      </c>
      <c r="M160" s="51"/>
      <c r="N160" s="51" t="str">
        <f t="shared" si="15"/>
        <v xml:space="preserve"> </v>
      </c>
    </row>
    <row r="161" spans="8:14" ht="15" x14ac:dyDescent="0.25">
      <c r="H161" s="50" t="str">
        <f t="shared" si="16"/>
        <v xml:space="preserve"> </v>
      </c>
      <c r="I161" s="51" t="str">
        <f t="shared" si="12"/>
        <v/>
      </c>
      <c r="J161" s="106" t="str">
        <f t="shared" si="17"/>
        <v xml:space="preserve"> </v>
      </c>
      <c r="K161" s="106" t="str">
        <f t="shared" si="13"/>
        <v xml:space="preserve"> </v>
      </c>
      <c r="L161" s="51" t="str">
        <f t="shared" si="14"/>
        <v xml:space="preserve"> </v>
      </c>
      <c r="M161" s="51"/>
      <c r="N161" s="51" t="str">
        <f t="shared" si="15"/>
        <v xml:space="preserve"> </v>
      </c>
    </row>
    <row r="162" spans="8:14" ht="15" x14ac:dyDescent="0.25">
      <c r="H162" s="50" t="str">
        <f t="shared" si="16"/>
        <v xml:space="preserve"> </v>
      </c>
      <c r="I162" s="51" t="str">
        <f t="shared" si="12"/>
        <v/>
      </c>
      <c r="J162" s="106" t="str">
        <f t="shared" si="17"/>
        <v xml:space="preserve"> </v>
      </c>
      <c r="K162" s="106" t="str">
        <f t="shared" si="13"/>
        <v xml:space="preserve"> </v>
      </c>
      <c r="L162" s="51" t="str">
        <f t="shared" si="14"/>
        <v xml:space="preserve"> </v>
      </c>
      <c r="M162" s="51"/>
      <c r="N162" s="51" t="str">
        <f t="shared" si="15"/>
        <v xml:space="preserve"> </v>
      </c>
    </row>
    <row r="163" spans="8:14" ht="15" x14ac:dyDescent="0.25">
      <c r="H163" s="50" t="str">
        <f t="shared" si="16"/>
        <v xml:space="preserve"> </v>
      </c>
      <c r="I163" s="51" t="str">
        <f t="shared" si="12"/>
        <v/>
      </c>
      <c r="J163" s="106" t="str">
        <f t="shared" si="17"/>
        <v xml:space="preserve"> </v>
      </c>
      <c r="K163" s="106" t="str">
        <f t="shared" si="13"/>
        <v xml:space="preserve"> </v>
      </c>
      <c r="L163" s="51" t="str">
        <f t="shared" si="14"/>
        <v xml:space="preserve"> </v>
      </c>
      <c r="M163" s="51"/>
      <c r="N163" s="51" t="str">
        <f t="shared" si="15"/>
        <v xml:space="preserve"> </v>
      </c>
    </row>
    <row r="164" spans="8:14" ht="15" x14ac:dyDescent="0.25">
      <c r="H164" s="50" t="str">
        <f t="shared" si="16"/>
        <v xml:space="preserve"> </v>
      </c>
      <c r="I164" s="51" t="str">
        <f t="shared" si="12"/>
        <v/>
      </c>
      <c r="J164" s="106" t="str">
        <f t="shared" si="17"/>
        <v xml:space="preserve"> </v>
      </c>
      <c r="K164" s="106" t="str">
        <f t="shared" si="13"/>
        <v xml:space="preserve"> </v>
      </c>
      <c r="L164" s="51" t="str">
        <f t="shared" si="14"/>
        <v xml:space="preserve"> </v>
      </c>
      <c r="M164" s="51"/>
      <c r="N164" s="51" t="str">
        <f t="shared" si="15"/>
        <v xml:space="preserve"> </v>
      </c>
    </row>
    <row r="165" spans="8:14" ht="15" x14ac:dyDescent="0.25">
      <c r="H165" s="50" t="str">
        <f t="shared" si="16"/>
        <v xml:space="preserve"> </v>
      </c>
      <c r="I165" s="51" t="str">
        <f t="shared" si="12"/>
        <v/>
      </c>
      <c r="J165" s="106" t="str">
        <f t="shared" si="17"/>
        <v xml:space="preserve"> </v>
      </c>
      <c r="K165" s="106" t="str">
        <f t="shared" si="13"/>
        <v xml:space="preserve"> </v>
      </c>
      <c r="L165" s="51" t="str">
        <f t="shared" si="14"/>
        <v xml:space="preserve"> </v>
      </c>
      <c r="M165" s="51"/>
      <c r="N165" s="51" t="str">
        <f t="shared" si="15"/>
        <v xml:space="preserve"> </v>
      </c>
    </row>
    <row r="166" spans="8:14" ht="15" x14ac:dyDescent="0.25">
      <c r="H166" s="50" t="str">
        <f t="shared" si="16"/>
        <v xml:space="preserve"> </v>
      </c>
      <c r="I166" s="51" t="str">
        <f t="shared" si="12"/>
        <v/>
      </c>
      <c r="J166" s="106" t="str">
        <f t="shared" si="17"/>
        <v xml:space="preserve"> </v>
      </c>
      <c r="K166" s="106" t="str">
        <f t="shared" si="13"/>
        <v xml:space="preserve"> </v>
      </c>
      <c r="L166" s="51" t="str">
        <f t="shared" si="14"/>
        <v xml:space="preserve"> </v>
      </c>
      <c r="M166" s="51"/>
      <c r="N166" s="51" t="str">
        <f t="shared" si="15"/>
        <v xml:space="preserve"> </v>
      </c>
    </row>
    <row r="167" spans="8:14" ht="15" x14ac:dyDescent="0.25">
      <c r="H167" s="50" t="str">
        <f t="shared" si="16"/>
        <v xml:space="preserve"> </v>
      </c>
      <c r="I167" s="51" t="str">
        <f t="shared" si="12"/>
        <v/>
      </c>
      <c r="J167" s="106" t="str">
        <f t="shared" si="17"/>
        <v xml:space="preserve"> </v>
      </c>
      <c r="K167" s="106" t="str">
        <f t="shared" si="13"/>
        <v xml:space="preserve"> </v>
      </c>
      <c r="L167" s="51" t="str">
        <f t="shared" si="14"/>
        <v xml:space="preserve"> </v>
      </c>
      <c r="M167" s="51"/>
      <c r="N167" s="51" t="str">
        <f t="shared" si="15"/>
        <v xml:space="preserve"> </v>
      </c>
    </row>
    <row r="168" spans="8:14" ht="15" x14ac:dyDescent="0.25">
      <c r="H168" s="50" t="str">
        <f t="shared" si="16"/>
        <v xml:space="preserve"> </v>
      </c>
      <c r="I168" s="51" t="str">
        <f t="shared" si="12"/>
        <v/>
      </c>
      <c r="J168" s="106" t="str">
        <f t="shared" si="17"/>
        <v xml:space="preserve"> </v>
      </c>
      <c r="K168" s="106" t="str">
        <f t="shared" si="13"/>
        <v xml:space="preserve"> </v>
      </c>
      <c r="L168" s="51" t="str">
        <f t="shared" si="14"/>
        <v xml:space="preserve"> </v>
      </c>
      <c r="M168" s="51"/>
      <c r="N168" s="51" t="str">
        <f t="shared" si="15"/>
        <v xml:space="preserve"> </v>
      </c>
    </row>
    <row r="169" spans="8:14" ht="15" x14ac:dyDescent="0.25">
      <c r="H169" s="50" t="str">
        <f t="shared" si="16"/>
        <v xml:space="preserve"> </v>
      </c>
      <c r="I169" s="51" t="str">
        <f t="shared" si="12"/>
        <v/>
      </c>
      <c r="J169" s="106" t="str">
        <f t="shared" si="17"/>
        <v xml:space="preserve"> </v>
      </c>
      <c r="K169" s="106" t="str">
        <f t="shared" si="13"/>
        <v xml:space="preserve"> </v>
      </c>
      <c r="L169" s="51" t="str">
        <f t="shared" si="14"/>
        <v xml:space="preserve"> </v>
      </c>
      <c r="M169" s="51"/>
      <c r="N169" s="51" t="str">
        <f t="shared" si="15"/>
        <v xml:space="preserve"> </v>
      </c>
    </row>
    <row r="170" spans="8:14" ht="15" x14ac:dyDescent="0.25">
      <c r="H170" s="50" t="str">
        <f t="shared" si="16"/>
        <v xml:space="preserve"> </v>
      </c>
      <c r="I170" s="51" t="str">
        <f t="shared" si="12"/>
        <v/>
      </c>
      <c r="J170" s="106" t="str">
        <f t="shared" si="17"/>
        <v xml:space="preserve"> </v>
      </c>
      <c r="K170" s="106" t="str">
        <f t="shared" si="13"/>
        <v xml:space="preserve"> </v>
      </c>
      <c r="L170" s="51" t="str">
        <f t="shared" si="14"/>
        <v xml:space="preserve"> </v>
      </c>
      <c r="M170" s="51"/>
      <c r="N170" s="51" t="str">
        <f t="shared" si="15"/>
        <v xml:space="preserve"> </v>
      </c>
    </row>
    <row r="171" spans="8:14" ht="15" x14ac:dyDescent="0.25">
      <c r="H171" s="50" t="str">
        <f t="shared" si="16"/>
        <v xml:space="preserve"> </v>
      </c>
      <c r="I171" s="51" t="str">
        <f t="shared" si="12"/>
        <v/>
      </c>
      <c r="J171" s="106" t="str">
        <f t="shared" si="17"/>
        <v xml:space="preserve"> </v>
      </c>
      <c r="K171" s="106" t="str">
        <f t="shared" si="13"/>
        <v xml:space="preserve"> </v>
      </c>
      <c r="L171" s="51" t="str">
        <f t="shared" si="14"/>
        <v xml:space="preserve"> </v>
      </c>
      <c r="M171" s="51"/>
      <c r="N171" s="51" t="str">
        <f t="shared" si="15"/>
        <v xml:space="preserve"> </v>
      </c>
    </row>
    <row r="172" spans="8:14" ht="15" x14ac:dyDescent="0.25">
      <c r="H172" s="50" t="str">
        <f t="shared" si="16"/>
        <v xml:space="preserve"> </v>
      </c>
      <c r="I172" s="51" t="str">
        <f t="shared" si="12"/>
        <v/>
      </c>
      <c r="J172" s="106" t="str">
        <f t="shared" si="17"/>
        <v xml:space="preserve"> </v>
      </c>
      <c r="K172" s="106" t="str">
        <f t="shared" si="13"/>
        <v xml:space="preserve"> </v>
      </c>
      <c r="L172" s="51" t="str">
        <f t="shared" si="14"/>
        <v xml:space="preserve"> </v>
      </c>
      <c r="M172" s="51"/>
      <c r="N172" s="51" t="str">
        <f t="shared" si="15"/>
        <v xml:space="preserve"> </v>
      </c>
    </row>
    <row r="173" spans="8:14" ht="15" x14ac:dyDescent="0.25">
      <c r="H173" s="50" t="str">
        <f t="shared" si="16"/>
        <v xml:space="preserve"> </v>
      </c>
      <c r="I173" s="51" t="str">
        <f t="shared" si="12"/>
        <v/>
      </c>
      <c r="J173" s="106" t="str">
        <f t="shared" si="17"/>
        <v xml:space="preserve"> </v>
      </c>
      <c r="K173" s="106" t="str">
        <f t="shared" si="13"/>
        <v xml:space="preserve"> </v>
      </c>
      <c r="L173" s="51" t="str">
        <f t="shared" si="14"/>
        <v xml:space="preserve"> </v>
      </c>
      <c r="M173" s="51"/>
      <c r="N173" s="51" t="str">
        <f t="shared" si="15"/>
        <v xml:space="preserve"> </v>
      </c>
    </row>
    <row r="174" spans="8:14" ht="15" x14ac:dyDescent="0.25">
      <c r="H174" s="50" t="str">
        <f t="shared" si="16"/>
        <v xml:space="preserve"> </v>
      </c>
      <c r="I174" s="51" t="str">
        <f t="shared" si="12"/>
        <v/>
      </c>
      <c r="J174" s="106" t="str">
        <f t="shared" si="17"/>
        <v xml:space="preserve"> </v>
      </c>
      <c r="K174" s="106" t="str">
        <f t="shared" si="13"/>
        <v xml:space="preserve"> </v>
      </c>
      <c r="L174" s="51" t="str">
        <f t="shared" si="14"/>
        <v xml:space="preserve"> </v>
      </c>
      <c r="M174" s="51"/>
      <c r="N174" s="51" t="str">
        <f t="shared" si="15"/>
        <v xml:space="preserve"> </v>
      </c>
    </row>
    <row r="175" spans="8:14" ht="15" x14ac:dyDescent="0.25">
      <c r="H175" s="50" t="str">
        <f t="shared" si="16"/>
        <v xml:space="preserve"> </v>
      </c>
      <c r="I175" s="51" t="str">
        <f t="shared" si="12"/>
        <v/>
      </c>
      <c r="J175" s="106" t="str">
        <f t="shared" si="17"/>
        <v xml:space="preserve"> </v>
      </c>
      <c r="K175" s="106" t="str">
        <f t="shared" si="13"/>
        <v xml:space="preserve"> </v>
      </c>
      <c r="L175" s="51" t="str">
        <f t="shared" si="14"/>
        <v xml:space="preserve"> </v>
      </c>
      <c r="M175" s="51"/>
      <c r="N175" s="51" t="str">
        <f t="shared" si="15"/>
        <v xml:space="preserve"> </v>
      </c>
    </row>
    <row r="176" spans="8:14" ht="15" x14ac:dyDescent="0.25">
      <c r="H176" s="50" t="str">
        <f t="shared" si="16"/>
        <v xml:space="preserve"> </v>
      </c>
      <c r="I176" s="51" t="str">
        <f t="shared" si="12"/>
        <v/>
      </c>
      <c r="J176" s="106" t="str">
        <f t="shared" si="17"/>
        <v xml:space="preserve"> </v>
      </c>
      <c r="K176" s="106" t="str">
        <f t="shared" si="13"/>
        <v xml:space="preserve"> </v>
      </c>
      <c r="L176" s="51" t="str">
        <f t="shared" si="14"/>
        <v xml:space="preserve"> </v>
      </c>
      <c r="M176" s="51"/>
      <c r="N176" s="51" t="str">
        <f t="shared" si="15"/>
        <v xml:space="preserve"> </v>
      </c>
    </row>
    <row r="177" spans="8:14" ht="15" x14ac:dyDescent="0.25">
      <c r="H177" s="50" t="str">
        <f t="shared" si="16"/>
        <v xml:space="preserve"> </v>
      </c>
      <c r="I177" s="51" t="str">
        <f t="shared" si="12"/>
        <v/>
      </c>
      <c r="J177" s="106" t="str">
        <f t="shared" si="17"/>
        <v xml:space="preserve"> </v>
      </c>
      <c r="K177" s="106" t="str">
        <f t="shared" si="13"/>
        <v xml:space="preserve"> </v>
      </c>
      <c r="L177" s="51" t="str">
        <f t="shared" si="14"/>
        <v xml:space="preserve"> </v>
      </c>
      <c r="M177" s="51"/>
      <c r="N177" s="51" t="str">
        <f t="shared" si="15"/>
        <v xml:space="preserve"> </v>
      </c>
    </row>
    <row r="178" spans="8:14" ht="15" x14ac:dyDescent="0.25">
      <c r="H178" s="50" t="str">
        <f t="shared" si="16"/>
        <v xml:space="preserve"> </v>
      </c>
      <c r="I178" s="51" t="str">
        <f t="shared" si="12"/>
        <v/>
      </c>
      <c r="J178" s="106" t="str">
        <f t="shared" si="17"/>
        <v xml:space="preserve"> </v>
      </c>
      <c r="K178" s="106" t="str">
        <f t="shared" si="13"/>
        <v xml:space="preserve"> </v>
      </c>
      <c r="L178" s="51" t="str">
        <f t="shared" si="14"/>
        <v xml:space="preserve"> </v>
      </c>
      <c r="M178" s="51"/>
      <c r="N178" s="51" t="str">
        <f t="shared" si="15"/>
        <v xml:space="preserve"> </v>
      </c>
    </row>
    <row r="179" spans="8:14" ht="15" x14ac:dyDescent="0.25">
      <c r="H179" s="50" t="str">
        <f t="shared" si="16"/>
        <v xml:space="preserve"> </v>
      </c>
      <c r="I179" s="51" t="str">
        <f t="shared" si="12"/>
        <v/>
      </c>
      <c r="J179" s="106" t="str">
        <f t="shared" si="17"/>
        <v xml:space="preserve"> </v>
      </c>
      <c r="K179" s="106" t="str">
        <f t="shared" si="13"/>
        <v xml:space="preserve"> </v>
      </c>
      <c r="L179" s="51" t="str">
        <f t="shared" si="14"/>
        <v xml:space="preserve"> </v>
      </c>
      <c r="M179" s="51"/>
      <c r="N179" s="51" t="str">
        <f t="shared" si="15"/>
        <v xml:space="preserve"> </v>
      </c>
    </row>
    <row r="180" spans="8:14" ht="15" x14ac:dyDescent="0.25">
      <c r="H180" s="50" t="str">
        <f t="shared" si="16"/>
        <v xml:space="preserve"> </v>
      </c>
      <c r="I180" s="51" t="str">
        <f t="shared" si="12"/>
        <v/>
      </c>
      <c r="J180" s="106" t="str">
        <f t="shared" si="17"/>
        <v xml:space="preserve"> </v>
      </c>
      <c r="K180" s="106" t="str">
        <f t="shared" si="13"/>
        <v xml:space="preserve"> </v>
      </c>
      <c r="L180" s="51" t="str">
        <f t="shared" si="14"/>
        <v xml:space="preserve"> </v>
      </c>
      <c r="M180" s="51"/>
      <c r="N180" s="51" t="str">
        <f t="shared" si="15"/>
        <v xml:space="preserve"> </v>
      </c>
    </row>
    <row r="181" spans="8:14" ht="15" x14ac:dyDescent="0.25">
      <c r="H181" s="50" t="str">
        <f t="shared" si="16"/>
        <v xml:space="preserve"> </v>
      </c>
      <c r="I181" s="51" t="str">
        <f t="shared" si="12"/>
        <v/>
      </c>
      <c r="J181" s="106" t="str">
        <f t="shared" si="17"/>
        <v xml:space="preserve"> </v>
      </c>
      <c r="K181" s="106" t="str">
        <f t="shared" si="13"/>
        <v xml:space="preserve"> </v>
      </c>
      <c r="L181" s="51" t="str">
        <f t="shared" si="14"/>
        <v xml:space="preserve"> </v>
      </c>
      <c r="M181" s="51"/>
      <c r="N181" s="51" t="str">
        <f t="shared" si="15"/>
        <v xml:space="preserve"> </v>
      </c>
    </row>
    <row r="182" spans="8:14" ht="15" x14ac:dyDescent="0.25">
      <c r="H182" s="50" t="str">
        <f t="shared" si="16"/>
        <v xml:space="preserve"> </v>
      </c>
      <c r="I182" s="51" t="str">
        <f t="shared" si="12"/>
        <v/>
      </c>
      <c r="J182" s="106" t="str">
        <f t="shared" si="17"/>
        <v xml:space="preserve"> </v>
      </c>
      <c r="K182" s="106" t="str">
        <f t="shared" si="13"/>
        <v xml:space="preserve"> </v>
      </c>
      <c r="L182" s="51" t="str">
        <f t="shared" si="14"/>
        <v xml:space="preserve"> </v>
      </c>
      <c r="M182" s="51"/>
      <c r="N182" s="51" t="str">
        <f t="shared" si="15"/>
        <v xml:space="preserve"> </v>
      </c>
    </row>
    <row r="183" spans="8:14" ht="15" x14ac:dyDescent="0.25">
      <c r="H183" s="50" t="str">
        <f t="shared" si="16"/>
        <v xml:space="preserve"> </v>
      </c>
      <c r="I183" s="51" t="str">
        <f t="shared" si="12"/>
        <v/>
      </c>
      <c r="J183" s="106" t="str">
        <f t="shared" si="17"/>
        <v xml:space="preserve"> </v>
      </c>
      <c r="K183" s="106" t="str">
        <f t="shared" si="13"/>
        <v xml:space="preserve"> </v>
      </c>
      <c r="L183" s="51" t="str">
        <f t="shared" si="14"/>
        <v xml:space="preserve"> </v>
      </c>
      <c r="M183" s="51"/>
      <c r="N183" s="51" t="str">
        <f t="shared" si="15"/>
        <v xml:space="preserve"> </v>
      </c>
    </row>
    <row r="184" spans="8:14" ht="15" x14ac:dyDescent="0.25">
      <c r="H184" s="50" t="str">
        <f t="shared" si="16"/>
        <v xml:space="preserve"> </v>
      </c>
      <c r="I184" s="51" t="str">
        <f t="shared" si="12"/>
        <v/>
      </c>
      <c r="J184" s="106" t="str">
        <f t="shared" si="17"/>
        <v xml:space="preserve"> </v>
      </c>
      <c r="K184" s="106" t="str">
        <f t="shared" si="13"/>
        <v xml:space="preserve"> </v>
      </c>
      <c r="L184" s="51" t="str">
        <f t="shared" si="14"/>
        <v xml:space="preserve"> </v>
      </c>
      <c r="M184" s="51"/>
      <c r="N184" s="51" t="str">
        <f t="shared" si="15"/>
        <v xml:space="preserve"> </v>
      </c>
    </row>
    <row r="185" spans="8:14" ht="15" x14ac:dyDescent="0.25">
      <c r="H185" s="50" t="str">
        <f t="shared" si="16"/>
        <v xml:space="preserve"> </v>
      </c>
      <c r="I185" s="51" t="str">
        <f t="shared" si="12"/>
        <v/>
      </c>
      <c r="J185" s="106" t="str">
        <f t="shared" si="17"/>
        <v xml:space="preserve"> </v>
      </c>
      <c r="K185" s="106" t="str">
        <f t="shared" si="13"/>
        <v xml:space="preserve"> </v>
      </c>
      <c r="L185" s="51" t="str">
        <f t="shared" si="14"/>
        <v xml:space="preserve"> </v>
      </c>
      <c r="M185" s="51"/>
      <c r="N185" s="51" t="str">
        <f t="shared" si="15"/>
        <v xml:space="preserve"> </v>
      </c>
    </row>
    <row r="186" spans="8:14" ht="15" x14ac:dyDescent="0.25">
      <c r="H186" s="50" t="str">
        <f t="shared" si="16"/>
        <v xml:space="preserve"> </v>
      </c>
      <c r="I186" s="51" t="str">
        <f t="shared" si="12"/>
        <v/>
      </c>
      <c r="J186" s="106" t="str">
        <f t="shared" si="17"/>
        <v xml:space="preserve"> </v>
      </c>
      <c r="K186" s="106" t="str">
        <f t="shared" si="13"/>
        <v xml:space="preserve"> </v>
      </c>
      <c r="L186" s="51" t="str">
        <f t="shared" si="14"/>
        <v xml:space="preserve"> </v>
      </c>
      <c r="M186" s="51"/>
      <c r="N186" s="51" t="str">
        <f t="shared" si="15"/>
        <v xml:space="preserve"> </v>
      </c>
    </row>
    <row r="187" spans="8:14" ht="15" x14ac:dyDescent="0.25">
      <c r="H187" s="50" t="str">
        <f t="shared" si="16"/>
        <v xml:space="preserve"> </v>
      </c>
      <c r="I187" s="51" t="str">
        <f t="shared" si="12"/>
        <v/>
      </c>
      <c r="J187" s="106" t="str">
        <f t="shared" si="17"/>
        <v xml:space="preserve"> </v>
      </c>
      <c r="K187" s="106" t="str">
        <f t="shared" si="13"/>
        <v xml:space="preserve"> </v>
      </c>
      <c r="L187" s="51" t="str">
        <f t="shared" si="14"/>
        <v xml:space="preserve"> </v>
      </c>
      <c r="M187" s="51"/>
      <c r="N187" s="51" t="str">
        <f t="shared" si="15"/>
        <v xml:space="preserve"> </v>
      </c>
    </row>
    <row r="188" spans="8:14" ht="15" x14ac:dyDescent="0.25">
      <c r="H188" s="50" t="str">
        <f t="shared" si="16"/>
        <v xml:space="preserve"> </v>
      </c>
      <c r="I188" s="51" t="str">
        <f t="shared" si="12"/>
        <v/>
      </c>
      <c r="J188" s="106" t="str">
        <f t="shared" si="17"/>
        <v xml:space="preserve"> </v>
      </c>
      <c r="K188" s="106" t="str">
        <f t="shared" si="13"/>
        <v xml:space="preserve"> </v>
      </c>
      <c r="L188" s="51" t="str">
        <f t="shared" si="14"/>
        <v xml:space="preserve"> </v>
      </c>
      <c r="M188" s="51"/>
      <c r="N188" s="51" t="str">
        <f t="shared" si="15"/>
        <v xml:space="preserve"> </v>
      </c>
    </row>
    <row r="189" spans="8:14" ht="15" x14ac:dyDescent="0.25">
      <c r="H189" s="50" t="str">
        <f t="shared" si="16"/>
        <v xml:space="preserve"> </v>
      </c>
      <c r="I189" s="51" t="str">
        <f t="shared" si="12"/>
        <v/>
      </c>
      <c r="J189" s="106" t="str">
        <f t="shared" si="17"/>
        <v xml:space="preserve"> </v>
      </c>
      <c r="K189" s="106" t="str">
        <f t="shared" si="13"/>
        <v xml:space="preserve"> </v>
      </c>
      <c r="L189" s="51" t="str">
        <f t="shared" si="14"/>
        <v xml:space="preserve"> </v>
      </c>
      <c r="M189" s="51"/>
      <c r="N189" s="51" t="str">
        <f t="shared" si="15"/>
        <v xml:space="preserve"> </v>
      </c>
    </row>
    <row r="190" spans="8:14" ht="15" x14ac:dyDescent="0.25">
      <c r="H190" s="50" t="str">
        <f t="shared" si="16"/>
        <v xml:space="preserve"> </v>
      </c>
      <c r="I190" s="51" t="str">
        <f t="shared" si="12"/>
        <v/>
      </c>
      <c r="J190" s="106" t="str">
        <f t="shared" si="17"/>
        <v xml:space="preserve"> </v>
      </c>
      <c r="K190" s="106" t="str">
        <f t="shared" si="13"/>
        <v xml:space="preserve"> </v>
      </c>
      <c r="L190" s="51" t="str">
        <f t="shared" si="14"/>
        <v xml:space="preserve"> </v>
      </c>
      <c r="M190" s="51"/>
      <c r="N190" s="51" t="str">
        <f t="shared" si="15"/>
        <v xml:space="preserve"> </v>
      </c>
    </row>
    <row r="191" spans="8:14" ht="15" x14ac:dyDescent="0.25">
      <c r="H191" s="50" t="str">
        <f t="shared" si="16"/>
        <v xml:space="preserve"> </v>
      </c>
      <c r="I191" s="51" t="str">
        <f t="shared" si="12"/>
        <v/>
      </c>
      <c r="J191" s="106" t="str">
        <f t="shared" si="17"/>
        <v xml:space="preserve"> </v>
      </c>
      <c r="K191" s="106" t="str">
        <f t="shared" si="13"/>
        <v xml:space="preserve"> </v>
      </c>
      <c r="L191" s="51" t="str">
        <f t="shared" si="14"/>
        <v xml:space="preserve"> </v>
      </c>
      <c r="M191" s="51"/>
      <c r="N191" s="51" t="str">
        <f t="shared" si="15"/>
        <v xml:space="preserve"> </v>
      </c>
    </row>
    <row r="192" spans="8:14" ht="15" x14ac:dyDescent="0.25">
      <c r="H192" s="50" t="str">
        <f t="shared" si="16"/>
        <v xml:space="preserve"> </v>
      </c>
      <c r="I192" s="51" t="str">
        <f t="shared" si="12"/>
        <v/>
      </c>
      <c r="J192" s="106" t="str">
        <f t="shared" si="17"/>
        <v xml:space="preserve"> </v>
      </c>
      <c r="K192" s="106" t="str">
        <f t="shared" si="13"/>
        <v xml:space="preserve"> </v>
      </c>
      <c r="L192" s="51" t="str">
        <f t="shared" si="14"/>
        <v xml:space="preserve"> </v>
      </c>
      <c r="M192" s="51"/>
      <c r="N192" s="51" t="str">
        <f t="shared" si="15"/>
        <v xml:space="preserve"> </v>
      </c>
    </row>
    <row r="193" spans="8:14" ht="15" x14ac:dyDescent="0.25">
      <c r="H193" s="50" t="str">
        <f t="shared" si="16"/>
        <v xml:space="preserve"> </v>
      </c>
      <c r="I193" s="51" t="str">
        <f t="shared" si="12"/>
        <v/>
      </c>
      <c r="J193" s="106" t="str">
        <f t="shared" si="17"/>
        <v xml:space="preserve"> </v>
      </c>
      <c r="K193" s="106" t="str">
        <f t="shared" si="13"/>
        <v xml:space="preserve"> </v>
      </c>
      <c r="L193" s="51" t="str">
        <f t="shared" si="14"/>
        <v xml:space="preserve"> </v>
      </c>
      <c r="M193" s="51"/>
      <c r="N193" s="51" t="str">
        <f t="shared" si="15"/>
        <v xml:space="preserve"> </v>
      </c>
    </row>
    <row r="194" spans="8:14" ht="15" x14ac:dyDescent="0.25">
      <c r="H194" s="50" t="str">
        <f t="shared" si="16"/>
        <v xml:space="preserve"> </v>
      </c>
      <c r="I194" s="51" t="str">
        <f t="shared" si="12"/>
        <v/>
      </c>
      <c r="J194" s="106" t="str">
        <f t="shared" si="17"/>
        <v xml:space="preserve"> </v>
      </c>
      <c r="K194" s="106" t="str">
        <f t="shared" si="13"/>
        <v xml:space="preserve"> </v>
      </c>
      <c r="L194" s="51" t="str">
        <f t="shared" si="14"/>
        <v xml:space="preserve"> </v>
      </c>
      <c r="M194" s="51"/>
      <c r="N194" s="51" t="str">
        <f t="shared" si="15"/>
        <v xml:space="preserve"> </v>
      </c>
    </row>
    <row r="195" spans="8:14" ht="15" x14ac:dyDescent="0.25">
      <c r="H195" s="50" t="str">
        <f t="shared" si="16"/>
        <v xml:space="preserve"> </v>
      </c>
      <c r="I195" s="51" t="str">
        <f t="shared" si="12"/>
        <v/>
      </c>
      <c r="J195" s="106" t="str">
        <f t="shared" si="17"/>
        <v xml:space="preserve"> </v>
      </c>
      <c r="K195" s="106" t="str">
        <f t="shared" si="13"/>
        <v xml:space="preserve"> </v>
      </c>
      <c r="L195" s="51" t="str">
        <f t="shared" si="14"/>
        <v xml:space="preserve"> </v>
      </c>
      <c r="M195" s="51"/>
      <c r="N195" s="51" t="str">
        <f t="shared" si="15"/>
        <v xml:space="preserve"> </v>
      </c>
    </row>
    <row r="196" spans="8:14" ht="15" x14ac:dyDescent="0.25">
      <c r="H196" s="50" t="str">
        <f t="shared" si="16"/>
        <v xml:space="preserve"> </v>
      </c>
      <c r="I196" s="51" t="str">
        <f t="shared" si="12"/>
        <v/>
      </c>
      <c r="J196" s="106" t="str">
        <f t="shared" si="17"/>
        <v xml:space="preserve"> </v>
      </c>
      <c r="K196" s="106" t="str">
        <f t="shared" si="13"/>
        <v xml:space="preserve"> </v>
      </c>
      <c r="L196" s="51" t="str">
        <f t="shared" si="14"/>
        <v xml:space="preserve"> </v>
      </c>
      <c r="M196" s="51"/>
      <c r="N196" s="51" t="str">
        <f t="shared" si="15"/>
        <v xml:space="preserve"> </v>
      </c>
    </row>
    <row r="197" spans="8:14" ht="15" x14ac:dyDescent="0.25">
      <c r="H197" s="50" t="str">
        <f t="shared" si="16"/>
        <v xml:space="preserve"> </v>
      </c>
      <c r="I197" s="51" t="str">
        <f t="shared" si="12"/>
        <v/>
      </c>
      <c r="J197" s="106" t="str">
        <f t="shared" si="17"/>
        <v xml:space="preserve"> </v>
      </c>
      <c r="K197" s="106" t="str">
        <f t="shared" si="13"/>
        <v xml:space="preserve"> </v>
      </c>
      <c r="L197" s="51" t="str">
        <f t="shared" si="14"/>
        <v xml:space="preserve"> </v>
      </c>
      <c r="M197" s="51"/>
      <c r="N197" s="51" t="str">
        <f t="shared" si="15"/>
        <v xml:space="preserve"> </v>
      </c>
    </row>
    <row r="198" spans="8:14" ht="15" x14ac:dyDescent="0.25">
      <c r="H198" s="50" t="str">
        <f t="shared" si="16"/>
        <v xml:space="preserve"> </v>
      </c>
      <c r="I198" s="51" t="str">
        <f t="shared" si="12"/>
        <v/>
      </c>
      <c r="J198" s="106" t="str">
        <f t="shared" si="17"/>
        <v xml:space="preserve"> </v>
      </c>
      <c r="K198" s="106" t="str">
        <f t="shared" si="13"/>
        <v xml:space="preserve"> </v>
      </c>
      <c r="L198" s="51" t="str">
        <f t="shared" si="14"/>
        <v xml:space="preserve"> </v>
      </c>
      <c r="M198" s="51"/>
      <c r="N198" s="51" t="str">
        <f t="shared" si="15"/>
        <v xml:space="preserve"> </v>
      </c>
    </row>
    <row r="199" spans="8:14" ht="15" x14ac:dyDescent="0.25">
      <c r="H199" s="50" t="str">
        <f t="shared" si="16"/>
        <v xml:space="preserve"> </v>
      </c>
      <c r="I199" s="51" t="str">
        <f t="shared" si="12"/>
        <v/>
      </c>
      <c r="J199" s="106" t="str">
        <f t="shared" si="17"/>
        <v xml:space="preserve"> </v>
      </c>
      <c r="K199" s="106" t="str">
        <f t="shared" si="13"/>
        <v xml:space="preserve"> </v>
      </c>
      <c r="L199" s="51" t="str">
        <f t="shared" si="14"/>
        <v xml:space="preserve"> </v>
      </c>
      <c r="M199" s="51"/>
      <c r="N199" s="51" t="str">
        <f t="shared" si="15"/>
        <v xml:space="preserve"> </v>
      </c>
    </row>
    <row r="200" spans="8:14" ht="15" x14ac:dyDescent="0.25">
      <c r="H200" s="50" t="str">
        <f t="shared" si="16"/>
        <v xml:space="preserve"> </v>
      </c>
      <c r="I200" s="51" t="str">
        <f t="shared" si="12"/>
        <v/>
      </c>
      <c r="J200" s="106" t="str">
        <f t="shared" si="17"/>
        <v xml:space="preserve"> </v>
      </c>
      <c r="K200" s="106" t="str">
        <f t="shared" si="13"/>
        <v xml:space="preserve"> </v>
      </c>
      <c r="L200" s="51" t="str">
        <f t="shared" si="14"/>
        <v xml:space="preserve"> </v>
      </c>
      <c r="M200" s="51"/>
      <c r="N200" s="51" t="str">
        <f t="shared" si="15"/>
        <v xml:space="preserve"> </v>
      </c>
    </row>
    <row r="201" spans="8:14" ht="15" x14ac:dyDescent="0.25">
      <c r="H201" s="50" t="str">
        <f t="shared" si="16"/>
        <v xml:space="preserve"> </v>
      </c>
      <c r="I201" s="51" t="str">
        <f t="shared" si="12"/>
        <v/>
      </c>
      <c r="J201" s="106" t="str">
        <f t="shared" si="17"/>
        <v xml:space="preserve"> </v>
      </c>
      <c r="K201" s="106" t="str">
        <f t="shared" si="13"/>
        <v xml:space="preserve"> </v>
      </c>
      <c r="L201" s="51" t="str">
        <f t="shared" si="14"/>
        <v xml:space="preserve"> </v>
      </c>
      <c r="M201" s="51"/>
      <c r="N201" s="51" t="str">
        <f t="shared" si="15"/>
        <v xml:space="preserve"> </v>
      </c>
    </row>
    <row r="202" spans="8:14" ht="15" x14ac:dyDescent="0.25">
      <c r="H202" s="50" t="str">
        <f t="shared" si="16"/>
        <v xml:space="preserve"> </v>
      </c>
      <c r="I202" s="51" t="str">
        <f t="shared" si="12"/>
        <v/>
      </c>
      <c r="J202" s="106" t="str">
        <f t="shared" si="17"/>
        <v xml:space="preserve"> </v>
      </c>
      <c r="K202" s="106" t="str">
        <f t="shared" si="13"/>
        <v xml:space="preserve"> </v>
      </c>
      <c r="L202" s="51" t="str">
        <f t="shared" si="14"/>
        <v xml:space="preserve"> </v>
      </c>
      <c r="M202" s="51"/>
      <c r="N202" s="51" t="str">
        <f t="shared" si="15"/>
        <v xml:space="preserve"> </v>
      </c>
    </row>
    <row r="203" spans="8:14" ht="15" x14ac:dyDescent="0.25">
      <c r="H203" s="50" t="str">
        <f t="shared" si="16"/>
        <v xml:space="preserve"> </v>
      </c>
      <c r="I203" s="51" t="str">
        <f t="shared" si="12"/>
        <v/>
      </c>
      <c r="J203" s="106" t="str">
        <f t="shared" si="17"/>
        <v xml:space="preserve"> </v>
      </c>
      <c r="K203" s="106" t="str">
        <f t="shared" si="13"/>
        <v xml:space="preserve"> </v>
      </c>
      <c r="L203" s="51" t="str">
        <f t="shared" si="14"/>
        <v xml:space="preserve"> </v>
      </c>
      <c r="M203" s="51"/>
      <c r="N203" s="51" t="str">
        <f t="shared" si="15"/>
        <v xml:space="preserve"> </v>
      </c>
    </row>
    <row r="204" spans="8:14" ht="15" x14ac:dyDescent="0.25">
      <c r="H204" s="50" t="str">
        <f t="shared" si="16"/>
        <v xml:space="preserve"> </v>
      </c>
      <c r="I204" s="51" t="str">
        <f t="shared" si="12"/>
        <v/>
      </c>
      <c r="J204" s="106" t="str">
        <f t="shared" si="17"/>
        <v xml:space="preserve"> </v>
      </c>
      <c r="K204" s="106" t="str">
        <f t="shared" si="13"/>
        <v xml:space="preserve"> </v>
      </c>
      <c r="L204" s="51" t="str">
        <f t="shared" si="14"/>
        <v xml:space="preserve"> </v>
      </c>
      <c r="M204" s="51"/>
      <c r="N204" s="51" t="str">
        <f t="shared" si="15"/>
        <v xml:space="preserve"> </v>
      </c>
    </row>
    <row r="205" spans="8:14" ht="15" x14ac:dyDescent="0.25">
      <c r="H205" s="50" t="str">
        <f t="shared" si="16"/>
        <v xml:space="preserve"> </v>
      </c>
      <c r="I205" s="51" t="str">
        <f t="shared" si="12"/>
        <v/>
      </c>
      <c r="J205" s="106" t="str">
        <f t="shared" si="17"/>
        <v xml:space="preserve"> </v>
      </c>
      <c r="K205" s="106" t="str">
        <f t="shared" si="13"/>
        <v xml:space="preserve"> </v>
      </c>
      <c r="L205" s="51" t="str">
        <f t="shared" si="14"/>
        <v xml:space="preserve"> </v>
      </c>
      <c r="M205" s="51"/>
      <c r="N205" s="51" t="str">
        <f t="shared" si="15"/>
        <v xml:space="preserve"> </v>
      </c>
    </row>
    <row r="206" spans="8:14" ht="15" x14ac:dyDescent="0.25">
      <c r="H206" s="50" t="str">
        <f t="shared" si="16"/>
        <v xml:space="preserve"> </v>
      </c>
      <c r="I206" s="51" t="str">
        <f t="shared" si="12"/>
        <v/>
      </c>
      <c r="J206" s="106" t="str">
        <f t="shared" si="17"/>
        <v xml:space="preserve"> </v>
      </c>
      <c r="K206" s="106" t="str">
        <f t="shared" si="13"/>
        <v xml:space="preserve"> </v>
      </c>
      <c r="L206" s="51" t="str">
        <f t="shared" si="14"/>
        <v xml:space="preserve"> </v>
      </c>
      <c r="M206" s="51"/>
      <c r="N206" s="51" t="str">
        <f t="shared" si="15"/>
        <v xml:space="preserve"> </v>
      </c>
    </row>
    <row r="207" spans="8:14" ht="15" x14ac:dyDescent="0.25">
      <c r="H207" s="50" t="str">
        <f t="shared" si="16"/>
        <v xml:space="preserve"> </v>
      </c>
      <c r="I207" s="51" t="str">
        <f t="shared" si="12"/>
        <v/>
      </c>
      <c r="J207" s="106" t="str">
        <f t="shared" si="17"/>
        <v xml:space="preserve"> </v>
      </c>
      <c r="K207" s="106" t="str">
        <f t="shared" si="13"/>
        <v xml:space="preserve"> </v>
      </c>
      <c r="L207" s="51" t="str">
        <f t="shared" si="14"/>
        <v xml:space="preserve"> </v>
      </c>
      <c r="M207" s="51"/>
      <c r="N207" s="51" t="str">
        <f t="shared" si="15"/>
        <v xml:space="preserve"> </v>
      </c>
    </row>
    <row r="208" spans="8:14" ht="15" x14ac:dyDescent="0.25">
      <c r="H208" s="50" t="str">
        <f t="shared" si="16"/>
        <v xml:space="preserve"> </v>
      </c>
      <c r="I208" s="51" t="str">
        <f t="shared" si="12"/>
        <v/>
      </c>
      <c r="J208" s="106" t="str">
        <f t="shared" si="17"/>
        <v xml:space="preserve"> </v>
      </c>
      <c r="K208" s="106" t="str">
        <f t="shared" si="13"/>
        <v xml:space="preserve"> </v>
      </c>
      <c r="L208" s="51" t="str">
        <f t="shared" si="14"/>
        <v xml:space="preserve"> </v>
      </c>
      <c r="M208" s="51"/>
      <c r="N208" s="51" t="str">
        <f t="shared" si="15"/>
        <v xml:space="preserve"> </v>
      </c>
    </row>
    <row r="209" spans="8:14" ht="15" x14ac:dyDescent="0.25">
      <c r="H209" s="50" t="str">
        <f t="shared" si="16"/>
        <v xml:space="preserve"> </v>
      </c>
      <c r="I209" s="51" t="str">
        <f t="shared" ref="I209:I272" si="18">IF(H208&lt;=$S$15,IF(credito="Francesa",IF(H209&lt;=$S$15,$I208,0),IF(credito="Alemana",IF(H209&lt;=$S$15,J209+K209,0))),"")</f>
        <v/>
      </c>
      <c r="J209" s="106" t="str">
        <f t="shared" si="17"/>
        <v xml:space="preserve"> </v>
      </c>
      <c r="K209" s="106" t="str">
        <f t="shared" ref="K209:K272" si="19">IF(H209&lt;=$S$15,IF(credito="Francesa",I209-J209,IF(credito="Alemana",IF(H209&lt;=$S$15,$K208,0)))," ")</f>
        <v xml:space="preserve"> </v>
      </c>
      <c r="L209" s="51" t="str">
        <f t="shared" ref="L209:L272" si="20">IF(H209&lt;=$S$15,L208-K209," ")</f>
        <v xml:space="preserve"> </v>
      </c>
      <c r="M209" s="51"/>
      <c r="N209" s="51" t="str">
        <f t="shared" ref="N209:N272" si="21">IF(H209&lt;=$S$15,-I209," ")</f>
        <v xml:space="preserve"> </v>
      </c>
    </row>
    <row r="210" spans="8:14" ht="15" x14ac:dyDescent="0.25">
      <c r="H210" s="50" t="str">
        <f t="shared" ref="H210:H273" si="22">IF($H209&gt;=$S$15," ",H209+1)</f>
        <v xml:space="preserve"> </v>
      </c>
      <c r="I210" s="51" t="str">
        <f t="shared" si="18"/>
        <v/>
      </c>
      <c r="J210" s="106" t="str">
        <f t="shared" ref="J210:J273" si="23">IF(H210&lt;=$S$15,L209*$D$26/$D$22," ")</f>
        <v xml:space="preserve"> </v>
      </c>
      <c r="K210" s="106" t="str">
        <f t="shared" si="19"/>
        <v xml:space="preserve"> </v>
      </c>
      <c r="L210" s="51" t="str">
        <f t="shared" si="20"/>
        <v xml:space="preserve"> </v>
      </c>
      <c r="M210" s="51"/>
      <c r="N210" s="51" t="str">
        <f t="shared" si="21"/>
        <v xml:space="preserve"> </v>
      </c>
    </row>
    <row r="211" spans="8:14" ht="15" x14ac:dyDescent="0.25">
      <c r="H211" s="50" t="str">
        <f t="shared" si="22"/>
        <v xml:space="preserve"> </v>
      </c>
      <c r="I211" s="51" t="str">
        <f t="shared" si="18"/>
        <v/>
      </c>
      <c r="J211" s="106" t="str">
        <f t="shared" si="23"/>
        <v xml:space="preserve"> </v>
      </c>
      <c r="K211" s="106" t="str">
        <f t="shared" si="19"/>
        <v xml:space="preserve"> </v>
      </c>
      <c r="L211" s="51" t="str">
        <f t="shared" si="20"/>
        <v xml:space="preserve"> </v>
      </c>
      <c r="M211" s="51"/>
      <c r="N211" s="51" t="str">
        <f t="shared" si="21"/>
        <v xml:space="preserve"> </v>
      </c>
    </row>
    <row r="212" spans="8:14" ht="15" x14ac:dyDescent="0.25">
      <c r="H212" s="50" t="str">
        <f t="shared" si="22"/>
        <v xml:space="preserve"> </v>
      </c>
      <c r="I212" s="51" t="str">
        <f t="shared" si="18"/>
        <v/>
      </c>
      <c r="J212" s="106" t="str">
        <f t="shared" si="23"/>
        <v xml:space="preserve"> </v>
      </c>
      <c r="K212" s="106" t="str">
        <f t="shared" si="19"/>
        <v xml:space="preserve"> </v>
      </c>
      <c r="L212" s="51" t="str">
        <f t="shared" si="20"/>
        <v xml:space="preserve"> </v>
      </c>
      <c r="M212" s="51"/>
      <c r="N212" s="51" t="str">
        <f t="shared" si="21"/>
        <v xml:space="preserve"> </v>
      </c>
    </row>
    <row r="213" spans="8:14" ht="15" x14ac:dyDescent="0.25">
      <c r="H213" s="50" t="str">
        <f t="shared" si="22"/>
        <v xml:space="preserve"> </v>
      </c>
      <c r="I213" s="51" t="str">
        <f t="shared" si="18"/>
        <v/>
      </c>
      <c r="J213" s="106" t="str">
        <f t="shared" si="23"/>
        <v xml:space="preserve"> </v>
      </c>
      <c r="K213" s="106" t="str">
        <f t="shared" si="19"/>
        <v xml:space="preserve"> </v>
      </c>
      <c r="L213" s="51" t="str">
        <f t="shared" si="20"/>
        <v xml:space="preserve"> </v>
      </c>
      <c r="M213" s="51"/>
      <c r="N213" s="51" t="str">
        <f t="shared" si="21"/>
        <v xml:space="preserve"> </v>
      </c>
    </row>
    <row r="214" spans="8:14" ht="15" x14ac:dyDescent="0.25">
      <c r="H214" s="50" t="str">
        <f t="shared" si="22"/>
        <v xml:space="preserve"> </v>
      </c>
      <c r="I214" s="51" t="str">
        <f t="shared" si="18"/>
        <v/>
      </c>
      <c r="J214" s="106" t="str">
        <f t="shared" si="23"/>
        <v xml:space="preserve"> </v>
      </c>
      <c r="K214" s="106" t="str">
        <f t="shared" si="19"/>
        <v xml:space="preserve"> </v>
      </c>
      <c r="L214" s="51" t="str">
        <f t="shared" si="20"/>
        <v xml:space="preserve"> </v>
      </c>
      <c r="M214" s="51"/>
      <c r="N214" s="51" t="str">
        <f t="shared" si="21"/>
        <v xml:space="preserve"> </v>
      </c>
    </row>
    <row r="215" spans="8:14" ht="15" x14ac:dyDescent="0.25">
      <c r="H215" s="50" t="str">
        <f t="shared" si="22"/>
        <v xml:space="preserve"> </v>
      </c>
      <c r="I215" s="51" t="str">
        <f t="shared" si="18"/>
        <v/>
      </c>
      <c r="J215" s="106" t="str">
        <f t="shared" si="23"/>
        <v xml:space="preserve"> </v>
      </c>
      <c r="K215" s="106" t="str">
        <f t="shared" si="19"/>
        <v xml:space="preserve"> </v>
      </c>
      <c r="L215" s="51" t="str">
        <f t="shared" si="20"/>
        <v xml:space="preserve"> </v>
      </c>
      <c r="M215" s="51"/>
      <c r="N215" s="51" t="str">
        <f t="shared" si="21"/>
        <v xml:space="preserve"> </v>
      </c>
    </row>
    <row r="216" spans="8:14" ht="15" x14ac:dyDescent="0.25">
      <c r="H216" s="50" t="str">
        <f t="shared" si="22"/>
        <v xml:space="preserve"> </v>
      </c>
      <c r="I216" s="51" t="str">
        <f t="shared" si="18"/>
        <v/>
      </c>
      <c r="J216" s="106" t="str">
        <f t="shared" si="23"/>
        <v xml:space="preserve"> </v>
      </c>
      <c r="K216" s="106" t="str">
        <f t="shared" si="19"/>
        <v xml:space="preserve"> </v>
      </c>
      <c r="L216" s="51" t="str">
        <f t="shared" si="20"/>
        <v xml:space="preserve"> </v>
      </c>
      <c r="M216" s="51"/>
      <c r="N216" s="51" t="str">
        <f t="shared" si="21"/>
        <v xml:space="preserve"> </v>
      </c>
    </row>
    <row r="217" spans="8:14" ht="15" x14ac:dyDescent="0.25">
      <c r="H217" s="50" t="str">
        <f t="shared" si="22"/>
        <v xml:space="preserve"> </v>
      </c>
      <c r="I217" s="51" t="str">
        <f t="shared" si="18"/>
        <v/>
      </c>
      <c r="J217" s="106" t="str">
        <f t="shared" si="23"/>
        <v xml:space="preserve"> </v>
      </c>
      <c r="K217" s="106" t="str">
        <f t="shared" si="19"/>
        <v xml:space="preserve"> </v>
      </c>
      <c r="L217" s="51" t="str">
        <f t="shared" si="20"/>
        <v xml:space="preserve"> </v>
      </c>
      <c r="M217" s="51"/>
      <c r="N217" s="51" t="str">
        <f t="shared" si="21"/>
        <v xml:space="preserve"> </v>
      </c>
    </row>
    <row r="218" spans="8:14" ht="15" x14ac:dyDescent="0.25">
      <c r="H218" s="50" t="str">
        <f t="shared" si="22"/>
        <v xml:space="preserve"> </v>
      </c>
      <c r="I218" s="51" t="str">
        <f t="shared" si="18"/>
        <v/>
      </c>
      <c r="J218" s="106" t="str">
        <f t="shared" si="23"/>
        <v xml:space="preserve"> </v>
      </c>
      <c r="K218" s="106" t="str">
        <f t="shared" si="19"/>
        <v xml:space="preserve"> </v>
      </c>
      <c r="L218" s="51" t="str">
        <f t="shared" si="20"/>
        <v xml:space="preserve"> </v>
      </c>
      <c r="M218" s="51"/>
      <c r="N218" s="51" t="str">
        <f t="shared" si="21"/>
        <v xml:space="preserve"> </v>
      </c>
    </row>
    <row r="219" spans="8:14" ht="15" x14ac:dyDescent="0.25">
      <c r="H219" s="50" t="str">
        <f t="shared" si="22"/>
        <v xml:space="preserve"> </v>
      </c>
      <c r="I219" s="51" t="str">
        <f t="shared" si="18"/>
        <v/>
      </c>
      <c r="J219" s="106" t="str">
        <f t="shared" si="23"/>
        <v xml:space="preserve"> </v>
      </c>
      <c r="K219" s="106" t="str">
        <f t="shared" si="19"/>
        <v xml:space="preserve"> </v>
      </c>
      <c r="L219" s="51" t="str">
        <f t="shared" si="20"/>
        <v xml:space="preserve"> </v>
      </c>
      <c r="M219" s="51"/>
      <c r="N219" s="51" t="str">
        <f t="shared" si="21"/>
        <v xml:space="preserve"> </v>
      </c>
    </row>
    <row r="220" spans="8:14" ht="15" x14ac:dyDescent="0.25">
      <c r="H220" s="50" t="str">
        <f t="shared" si="22"/>
        <v xml:space="preserve"> </v>
      </c>
      <c r="I220" s="51" t="str">
        <f t="shared" si="18"/>
        <v/>
      </c>
      <c r="J220" s="106" t="str">
        <f t="shared" si="23"/>
        <v xml:space="preserve"> </v>
      </c>
      <c r="K220" s="106" t="str">
        <f t="shared" si="19"/>
        <v xml:space="preserve"> </v>
      </c>
      <c r="L220" s="51" t="str">
        <f t="shared" si="20"/>
        <v xml:space="preserve"> </v>
      </c>
      <c r="M220" s="51"/>
      <c r="N220" s="51" t="str">
        <f t="shared" si="21"/>
        <v xml:space="preserve"> </v>
      </c>
    </row>
    <row r="221" spans="8:14" ht="15" x14ac:dyDescent="0.25">
      <c r="H221" s="50" t="str">
        <f t="shared" si="22"/>
        <v xml:space="preserve"> </v>
      </c>
      <c r="I221" s="51" t="str">
        <f t="shared" si="18"/>
        <v/>
      </c>
      <c r="J221" s="106" t="str">
        <f t="shared" si="23"/>
        <v xml:space="preserve"> </v>
      </c>
      <c r="K221" s="106" t="str">
        <f t="shared" si="19"/>
        <v xml:space="preserve"> </v>
      </c>
      <c r="L221" s="51" t="str">
        <f t="shared" si="20"/>
        <v xml:space="preserve"> </v>
      </c>
      <c r="M221" s="51"/>
      <c r="N221" s="51" t="str">
        <f t="shared" si="21"/>
        <v xml:space="preserve"> </v>
      </c>
    </row>
    <row r="222" spans="8:14" ht="15" x14ac:dyDescent="0.25">
      <c r="H222" s="50" t="str">
        <f t="shared" si="22"/>
        <v xml:space="preserve"> </v>
      </c>
      <c r="I222" s="51" t="str">
        <f t="shared" si="18"/>
        <v/>
      </c>
      <c r="J222" s="106" t="str">
        <f t="shared" si="23"/>
        <v xml:space="preserve"> </v>
      </c>
      <c r="K222" s="106" t="str">
        <f t="shared" si="19"/>
        <v xml:space="preserve"> </v>
      </c>
      <c r="L222" s="51" t="str">
        <f t="shared" si="20"/>
        <v xml:space="preserve"> </v>
      </c>
      <c r="M222" s="51"/>
      <c r="N222" s="51" t="str">
        <f t="shared" si="21"/>
        <v xml:space="preserve"> </v>
      </c>
    </row>
    <row r="223" spans="8:14" ht="15" x14ac:dyDescent="0.25">
      <c r="H223" s="50" t="str">
        <f t="shared" si="22"/>
        <v xml:space="preserve"> </v>
      </c>
      <c r="I223" s="51" t="str">
        <f t="shared" si="18"/>
        <v/>
      </c>
      <c r="J223" s="106" t="str">
        <f t="shared" si="23"/>
        <v xml:space="preserve"> </v>
      </c>
      <c r="K223" s="106" t="str">
        <f t="shared" si="19"/>
        <v xml:space="preserve"> </v>
      </c>
      <c r="L223" s="51" t="str">
        <f t="shared" si="20"/>
        <v xml:space="preserve"> </v>
      </c>
      <c r="M223" s="51"/>
      <c r="N223" s="51" t="str">
        <f t="shared" si="21"/>
        <v xml:space="preserve"> </v>
      </c>
    </row>
    <row r="224" spans="8:14" ht="15" x14ac:dyDescent="0.25">
      <c r="H224" s="50" t="str">
        <f t="shared" si="22"/>
        <v xml:space="preserve"> </v>
      </c>
      <c r="I224" s="51" t="str">
        <f t="shared" si="18"/>
        <v/>
      </c>
      <c r="J224" s="106" t="str">
        <f t="shared" si="23"/>
        <v xml:space="preserve"> </v>
      </c>
      <c r="K224" s="106" t="str">
        <f t="shared" si="19"/>
        <v xml:space="preserve"> </v>
      </c>
      <c r="L224" s="51" t="str">
        <f t="shared" si="20"/>
        <v xml:space="preserve"> </v>
      </c>
      <c r="M224" s="51"/>
      <c r="N224" s="51" t="str">
        <f t="shared" si="21"/>
        <v xml:space="preserve"> </v>
      </c>
    </row>
    <row r="225" spans="8:14" ht="15" x14ac:dyDescent="0.25">
      <c r="H225" s="50" t="str">
        <f t="shared" si="22"/>
        <v xml:space="preserve"> </v>
      </c>
      <c r="I225" s="51" t="str">
        <f t="shared" si="18"/>
        <v/>
      </c>
      <c r="J225" s="106" t="str">
        <f t="shared" si="23"/>
        <v xml:space="preserve"> </v>
      </c>
      <c r="K225" s="106" t="str">
        <f t="shared" si="19"/>
        <v xml:space="preserve"> </v>
      </c>
      <c r="L225" s="51" t="str">
        <f t="shared" si="20"/>
        <v xml:space="preserve"> </v>
      </c>
      <c r="M225" s="51"/>
      <c r="N225" s="51" t="str">
        <f t="shared" si="21"/>
        <v xml:space="preserve"> </v>
      </c>
    </row>
    <row r="226" spans="8:14" ht="15" x14ac:dyDescent="0.25">
      <c r="H226" s="50" t="str">
        <f t="shared" si="22"/>
        <v xml:space="preserve"> </v>
      </c>
      <c r="I226" s="51" t="str">
        <f t="shared" si="18"/>
        <v/>
      </c>
      <c r="J226" s="106" t="str">
        <f t="shared" si="23"/>
        <v xml:space="preserve"> </v>
      </c>
      <c r="K226" s="106" t="str">
        <f t="shared" si="19"/>
        <v xml:space="preserve"> </v>
      </c>
      <c r="L226" s="51" t="str">
        <f t="shared" si="20"/>
        <v xml:space="preserve"> </v>
      </c>
      <c r="M226" s="51"/>
      <c r="N226" s="51" t="str">
        <f t="shared" si="21"/>
        <v xml:space="preserve"> </v>
      </c>
    </row>
    <row r="227" spans="8:14" ht="15" x14ac:dyDescent="0.25">
      <c r="H227" s="50" t="str">
        <f t="shared" si="22"/>
        <v xml:space="preserve"> </v>
      </c>
      <c r="I227" s="51" t="str">
        <f t="shared" si="18"/>
        <v/>
      </c>
      <c r="J227" s="106" t="str">
        <f t="shared" si="23"/>
        <v xml:space="preserve"> </v>
      </c>
      <c r="K227" s="106" t="str">
        <f t="shared" si="19"/>
        <v xml:space="preserve"> </v>
      </c>
      <c r="L227" s="51" t="str">
        <f t="shared" si="20"/>
        <v xml:space="preserve"> </v>
      </c>
      <c r="M227" s="51"/>
      <c r="N227" s="51" t="str">
        <f t="shared" si="21"/>
        <v xml:space="preserve"> </v>
      </c>
    </row>
    <row r="228" spans="8:14" ht="15" x14ac:dyDescent="0.25">
      <c r="H228" s="50" t="str">
        <f t="shared" si="22"/>
        <v xml:space="preserve"> </v>
      </c>
      <c r="I228" s="51" t="str">
        <f t="shared" si="18"/>
        <v/>
      </c>
      <c r="J228" s="106" t="str">
        <f t="shared" si="23"/>
        <v xml:space="preserve"> </v>
      </c>
      <c r="K228" s="106" t="str">
        <f t="shared" si="19"/>
        <v xml:space="preserve"> </v>
      </c>
      <c r="L228" s="51" t="str">
        <f t="shared" si="20"/>
        <v xml:space="preserve"> </v>
      </c>
      <c r="M228" s="51"/>
      <c r="N228" s="51" t="str">
        <f t="shared" si="21"/>
        <v xml:space="preserve"> </v>
      </c>
    </row>
    <row r="229" spans="8:14" ht="15" x14ac:dyDescent="0.25">
      <c r="H229" s="50" t="str">
        <f t="shared" si="22"/>
        <v xml:space="preserve"> </v>
      </c>
      <c r="I229" s="51" t="str">
        <f t="shared" si="18"/>
        <v/>
      </c>
      <c r="J229" s="106" t="str">
        <f t="shared" si="23"/>
        <v xml:space="preserve"> </v>
      </c>
      <c r="K229" s="106" t="str">
        <f t="shared" si="19"/>
        <v xml:space="preserve"> </v>
      </c>
      <c r="L229" s="51" t="str">
        <f t="shared" si="20"/>
        <v xml:space="preserve"> </v>
      </c>
      <c r="M229" s="51"/>
      <c r="N229" s="51" t="str">
        <f t="shared" si="21"/>
        <v xml:space="preserve"> </v>
      </c>
    </row>
    <row r="230" spans="8:14" ht="15" x14ac:dyDescent="0.25">
      <c r="H230" s="50" t="str">
        <f t="shared" si="22"/>
        <v xml:space="preserve"> </v>
      </c>
      <c r="I230" s="51" t="str">
        <f t="shared" si="18"/>
        <v/>
      </c>
      <c r="J230" s="106" t="str">
        <f t="shared" si="23"/>
        <v xml:space="preserve"> </v>
      </c>
      <c r="K230" s="106" t="str">
        <f t="shared" si="19"/>
        <v xml:space="preserve"> </v>
      </c>
      <c r="L230" s="51" t="str">
        <f t="shared" si="20"/>
        <v xml:space="preserve"> </v>
      </c>
      <c r="M230" s="51"/>
      <c r="N230" s="51" t="str">
        <f t="shared" si="21"/>
        <v xml:space="preserve"> </v>
      </c>
    </row>
    <row r="231" spans="8:14" ht="15" x14ac:dyDescent="0.25">
      <c r="H231" s="50" t="str">
        <f t="shared" si="22"/>
        <v xml:space="preserve"> </v>
      </c>
      <c r="I231" s="51" t="str">
        <f t="shared" si="18"/>
        <v/>
      </c>
      <c r="J231" s="106" t="str">
        <f t="shared" si="23"/>
        <v xml:space="preserve"> </v>
      </c>
      <c r="K231" s="106" t="str">
        <f t="shared" si="19"/>
        <v xml:space="preserve"> </v>
      </c>
      <c r="L231" s="51" t="str">
        <f t="shared" si="20"/>
        <v xml:space="preserve"> </v>
      </c>
      <c r="M231" s="51"/>
      <c r="N231" s="51" t="str">
        <f t="shared" si="21"/>
        <v xml:space="preserve"> </v>
      </c>
    </row>
    <row r="232" spans="8:14" ht="15" x14ac:dyDescent="0.25">
      <c r="H232" s="50" t="str">
        <f t="shared" si="22"/>
        <v xml:space="preserve"> </v>
      </c>
      <c r="I232" s="51" t="str">
        <f t="shared" si="18"/>
        <v/>
      </c>
      <c r="J232" s="106" t="str">
        <f t="shared" si="23"/>
        <v xml:space="preserve"> </v>
      </c>
      <c r="K232" s="106" t="str">
        <f t="shared" si="19"/>
        <v xml:space="preserve"> </v>
      </c>
      <c r="L232" s="51" t="str">
        <f t="shared" si="20"/>
        <v xml:space="preserve"> </v>
      </c>
      <c r="M232" s="51"/>
      <c r="N232" s="51" t="str">
        <f t="shared" si="21"/>
        <v xml:space="preserve"> </v>
      </c>
    </row>
    <row r="233" spans="8:14" ht="15" x14ac:dyDescent="0.25">
      <c r="H233" s="50" t="str">
        <f t="shared" si="22"/>
        <v xml:space="preserve"> </v>
      </c>
      <c r="I233" s="51" t="str">
        <f t="shared" si="18"/>
        <v/>
      </c>
      <c r="J233" s="106" t="str">
        <f t="shared" si="23"/>
        <v xml:space="preserve"> </v>
      </c>
      <c r="K233" s="106" t="str">
        <f t="shared" si="19"/>
        <v xml:space="preserve"> </v>
      </c>
      <c r="L233" s="51" t="str">
        <f t="shared" si="20"/>
        <v xml:space="preserve"> </v>
      </c>
      <c r="M233" s="51"/>
      <c r="N233" s="51" t="str">
        <f t="shared" si="21"/>
        <v xml:space="preserve"> </v>
      </c>
    </row>
    <row r="234" spans="8:14" ht="15" x14ac:dyDescent="0.25">
      <c r="H234" s="50" t="str">
        <f t="shared" si="22"/>
        <v xml:space="preserve"> </v>
      </c>
      <c r="I234" s="51" t="str">
        <f t="shared" si="18"/>
        <v/>
      </c>
      <c r="J234" s="106" t="str">
        <f t="shared" si="23"/>
        <v xml:space="preserve"> </v>
      </c>
      <c r="K234" s="106" t="str">
        <f t="shared" si="19"/>
        <v xml:space="preserve"> </v>
      </c>
      <c r="L234" s="51" t="str">
        <f t="shared" si="20"/>
        <v xml:space="preserve"> </v>
      </c>
      <c r="M234" s="51"/>
      <c r="N234" s="51" t="str">
        <f t="shared" si="21"/>
        <v xml:space="preserve"> </v>
      </c>
    </row>
    <row r="235" spans="8:14" ht="15" x14ac:dyDescent="0.25">
      <c r="H235" s="50" t="str">
        <f t="shared" si="22"/>
        <v xml:space="preserve"> </v>
      </c>
      <c r="I235" s="51" t="str">
        <f t="shared" si="18"/>
        <v/>
      </c>
      <c r="J235" s="106" t="str">
        <f t="shared" si="23"/>
        <v xml:space="preserve"> </v>
      </c>
      <c r="K235" s="106" t="str">
        <f t="shared" si="19"/>
        <v xml:space="preserve"> </v>
      </c>
      <c r="L235" s="51" t="str">
        <f t="shared" si="20"/>
        <v xml:space="preserve"> </v>
      </c>
      <c r="M235" s="51"/>
      <c r="N235" s="51" t="str">
        <f t="shared" si="21"/>
        <v xml:space="preserve"> </v>
      </c>
    </row>
    <row r="236" spans="8:14" ht="15" x14ac:dyDescent="0.25">
      <c r="H236" s="50" t="str">
        <f t="shared" si="22"/>
        <v xml:space="preserve"> </v>
      </c>
      <c r="I236" s="51" t="str">
        <f t="shared" si="18"/>
        <v/>
      </c>
      <c r="J236" s="106" t="str">
        <f t="shared" si="23"/>
        <v xml:space="preserve"> </v>
      </c>
      <c r="K236" s="106" t="str">
        <f t="shared" si="19"/>
        <v xml:space="preserve"> </v>
      </c>
      <c r="L236" s="51" t="str">
        <f t="shared" si="20"/>
        <v xml:space="preserve"> </v>
      </c>
      <c r="M236" s="51"/>
      <c r="N236" s="51" t="str">
        <f t="shared" si="21"/>
        <v xml:space="preserve"> </v>
      </c>
    </row>
    <row r="237" spans="8:14" ht="15" x14ac:dyDescent="0.25">
      <c r="H237" s="50" t="str">
        <f t="shared" si="22"/>
        <v xml:space="preserve"> </v>
      </c>
      <c r="I237" s="51" t="str">
        <f t="shared" si="18"/>
        <v/>
      </c>
      <c r="J237" s="106" t="str">
        <f t="shared" si="23"/>
        <v xml:space="preserve"> </v>
      </c>
      <c r="K237" s="106" t="str">
        <f t="shared" si="19"/>
        <v xml:space="preserve"> </v>
      </c>
      <c r="L237" s="51" t="str">
        <f t="shared" si="20"/>
        <v xml:space="preserve"> </v>
      </c>
      <c r="M237" s="51"/>
      <c r="N237" s="51" t="str">
        <f t="shared" si="21"/>
        <v xml:space="preserve"> </v>
      </c>
    </row>
    <row r="238" spans="8:14" ht="15" x14ac:dyDescent="0.25">
      <c r="H238" s="50" t="str">
        <f t="shared" si="22"/>
        <v xml:space="preserve"> </v>
      </c>
      <c r="I238" s="51" t="str">
        <f t="shared" si="18"/>
        <v/>
      </c>
      <c r="J238" s="106" t="str">
        <f t="shared" si="23"/>
        <v xml:space="preserve"> </v>
      </c>
      <c r="K238" s="106" t="str">
        <f t="shared" si="19"/>
        <v xml:space="preserve"> </v>
      </c>
      <c r="L238" s="51" t="str">
        <f t="shared" si="20"/>
        <v xml:space="preserve"> </v>
      </c>
      <c r="M238" s="51"/>
      <c r="N238" s="51" t="str">
        <f t="shared" si="21"/>
        <v xml:space="preserve"> </v>
      </c>
    </row>
    <row r="239" spans="8:14" ht="15" x14ac:dyDescent="0.25">
      <c r="H239" s="50" t="str">
        <f t="shared" si="22"/>
        <v xml:space="preserve"> </v>
      </c>
      <c r="I239" s="51" t="str">
        <f t="shared" si="18"/>
        <v/>
      </c>
      <c r="J239" s="106" t="str">
        <f t="shared" si="23"/>
        <v xml:space="preserve"> </v>
      </c>
      <c r="K239" s="106" t="str">
        <f t="shared" si="19"/>
        <v xml:space="preserve"> </v>
      </c>
      <c r="L239" s="51" t="str">
        <f t="shared" si="20"/>
        <v xml:space="preserve"> </v>
      </c>
      <c r="M239" s="51"/>
      <c r="N239" s="51" t="str">
        <f t="shared" si="21"/>
        <v xml:space="preserve"> </v>
      </c>
    </row>
    <row r="240" spans="8:14" ht="15" x14ac:dyDescent="0.25">
      <c r="H240" s="50" t="str">
        <f t="shared" si="22"/>
        <v xml:space="preserve"> </v>
      </c>
      <c r="I240" s="51" t="str">
        <f t="shared" si="18"/>
        <v/>
      </c>
      <c r="J240" s="106" t="str">
        <f t="shared" si="23"/>
        <v xml:space="preserve"> </v>
      </c>
      <c r="K240" s="106" t="str">
        <f t="shared" si="19"/>
        <v xml:space="preserve"> </v>
      </c>
      <c r="L240" s="51" t="str">
        <f t="shared" si="20"/>
        <v xml:space="preserve"> </v>
      </c>
      <c r="M240" s="51"/>
      <c r="N240" s="51" t="str">
        <f t="shared" si="21"/>
        <v xml:space="preserve"> </v>
      </c>
    </row>
    <row r="241" spans="8:14" ht="15" x14ac:dyDescent="0.25">
      <c r="H241" s="50" t="str">
        <f t="shared" si="22"/>
        <v xml:space="preserve"> </v>
      </c>
      <c r="I241" s="51" t="str">
        <f t="shared" si="18"/>
        <v/>
      </c>
      <c r="J241" s="106" t="str">
        <f t="shared" si="23"/>
        <v xml:space="preserve"> </v>
      </c>
      <c r="K241" s="106" t="str">
        <f t="shared" si="19"/>
        <v xml:space="preserve"> </v>
      </c>
      <c r="L241" s="51" t="str">
        <f t="shared" si="20"/>
        <v xml:space="preserve"> </v>
      </c>
      <c r="M241" s="51"/>
      <c r="N241" s="51" t="str">
        <f t="shared" si="21"/>
        <v xml:space="preserve"> </v>
      </c>
    </row>
    <row r="242" spans="8:14" ht="15" x14ac:dyDescent="0.25">
      <c r="H242" s="50" t="str">
        <f t="shared" si="22"/>
        <v xml:space="preserve"> </v>
      </c>
      <c r="I242" s="51" t="str">
        <f t="shared" si="18"/>
        <v/>
      </c>
      <c r="J242" s="106" t="str">
        <f t="shared" si="23"/>
        <v xml:space="preserve"> </v>
      </c>
      <c r="K242" s="106" t="str">
        <f t="shared" si="19"/>
        <v xml:space="preserve"> </v>
      </c>
      <c r="L242" s="51" t="str">
        <f t="shared" si="20"/>
        <v xml:space="preserve"> </v>
      </c>
      <c r="M242" s="51"/>
      <c r="N242" s="51" t="str">
        <f t="shared" si="21"/>
        <v xml:space="preserve"> </v>
      </c>
    </row>
    <row r="243" spans="8:14" ht="15" x14ac:dyDescent="0.25">
      <c r="H243" s="50" t="str">
        <f t="shared" si="22"/>
        <v xml:space="preserve"> </v>
      </c>
      <c r="I243" s="51" t="str">
        <f t="shared" si="18"/>
        <v/>
      </c>
      <c r="J243" s="106" t="str">
        <f t="shared" si="23"/>
        <v xml:space="preserve"> </v>
      </c>
      <c r="K243" s="106" t="str">
        <f t="shared" si="19"/>
        <v xml:space="preserve"> </v>
      </c>
      <c r="L243" s="51" t="str">
        <f t="shared" si="20"/>
        <v xml:space="preserve"> </v>
      </c>
      <c r="M243" s="51"/>
      <c r="N243" s="51" t="str">
        <f t="shared" si="21"/>
        <v xml:space="preserve"> </v>
      </c>
    </row>
    <row r="244" spans="8:14" ht="15" x14ac:dyDescent="0.25">
      <c r="H244" s="50" t="str">
        <f t="shared" si="22"/>
        <v xml:space="preserve"> </v>
      </c>
      <c r="I244" s="51" t="str">
        <f t="shared" si="18"/>
        <v/>
      </c>
      <c r="J244" s="106" t="str">
        <f t="shared" si="23"/>
        <v xml:space="preserve"> </v>
      </c>
      <c r="K244" s="106" t="str">
        <f t="shared" si="19"/>
        <v xml:space="preserve"> </v>
      </c>
      <c r="L244" s="51" t="str">
        <f t="shared" si="20"/>
        <v xml:space="preserve"> </v>
      </c>
      <c r="M244" s="51"/>
      <c r="N244" s="51" t="str">
        <f t="shared" si="21"/>
        <v xml:space="preserve"> </v>
      </c>
    </row>
    <row r="245" spans="8:14" ht="15" x14ac:dyDescent="0.25">
      <c r="H245" s="50" t="str">
        <f t="shared" si="22"/>
        <v xml:space="preserve"> </v>
      </c>
      <c r="I245" s="51" t="str">
        <f t="shared" si="18"/>
        <v/>
      </c>
      <c r="J245" s="106" t="str">
        <f t="shared" si="23"/>
        <v xml:space="preserve"> </v>
      </c>
      <c r="K245" s="106" t="str">
        <f t="shared" si="19"/>
        <v xml:space="preserve"> </v>
      </c>
      <c r="L245" s="51" t="str">
        <f t="shared" si="20"/>
        <v xml:space="preserve"> </v>
      </c>
      <c r="M245" s="51"/>
      <c r="N245" s="51" t="str">
        <f t="shared" si="21"/>
        <v xml:space="preserve"> </v>
      </c>
    </row>
    <row r="246" spans="8:14" ht="15" x14ac:dyDescent="0.25">
      <c r="H246" s="50" t="str">
        <f t="shared" si="22"/>
        <v xml:space="preserve"> </v>
      </c>
      <c r="I246" s="51" t="str">
        <f t="shared" si="18"/>
        <v/>
      </c>
      <c r="J246" s="106" t="str">
        <f t="shared" si="23"/>
        <v xml:space="preserve"> </v>
      </c>
      <c r="K246" s="106" t="str">
        <f t="shared" si="19"/>
        <v xml:space="preserve"> </v>
      </c>
      <c r="L246" s="51" t="str">
        <f t="shared" si="20"/>
        <v xml:space="preserve"> </v>
      </c>
      <c r="M246" s="51"/>
      <c r="N246" s="51" t="str">
        <f t="shared" si="21"/>
        <v xml:space="preserve"> </v>
      </c>
    </row>
    <row r="247" spans="8:14" ht="15" x14ac:dyDescent="0.25">
      <c r="H247" s="50" t="str">
        <f t="shared" si="22"/>
        <v xml:space="preserve"> </v>
      </c>
      <c r="I247" s="51" t="str">
        <f t="shared" si="18"/>
        <v/>
      </c>
      <c r="J247" s="106" t="str">
        <f t="shared" si="23"/>
        <v xml:space="preserve"> </v>
      </c>
      <c r="K247" s="106" t="str">
        <f t="shared" si="19"/>
        <v xml:space="preserve"> </v>
      </c>
      <c r="L247" s="51" t="str">
        <f t="shared" si="20"/>
        <v xml:space="preserve"> </v>
      </c>
      <c r="M247" s="51"/>
      <c r="N247" s="51" t="str">
        <f t="shared" si="21"/>
        <v xml:space="preserve"> </v>
      </c>
    </row>
    <row r="248" spans="8:14" ht="15" x14ac:dyDescent="0.25">
      <c r="H248" s="50" t="str">
        <f t="shared" si="22"/>
        <v xml:space="preserve"> </v>
      </c>
      <c r="I248" s="51" t="str">
        <f t="shared" si="18"/>
        <v/>
      </c>
      <c r="J248" s="106" t="str">
        <f t="shared" si="23"/>
        <v xml:space="preserve"> </v>
      </c>
      <c r="K248" s="106" t="str">
        <f t="shared" si="19"/>
        <v xml:space="preserve"> </v>
      </c>
      <c r="L248" s="51" t="str">
        <f t="shared" si="20"/>
        <v xml:space="preserve"> </v>
      </c>
      <c r="M248" s="51"/>
      <c r="N248" s="51" t="str">
        <f t="shared" si="21"/>
        <v xml:space="preserve"> </v>
      </c>
    </row>
    <row r="249" spans="8:14" ht="15" x14ac:dyDescent="0.25">
      <c r="H249" s="50" t="str">
        <f t="shared" si="22"/>
        <v xml:space="preserve"> </v>
      </c>
      <c r="I249" s="51" t="str">
        <f t="shared" si="18"/>
        <v/>
      </c>
      <c r="J249" s="106" t="str">
        <f t="shared" si="23"/>
        <v xml:space="preserve"> </v>
      </c>
      <c r="K249" s="106" t="str">
        <f t="shared" si="19"/>
        <v xml:space="preserve"> </v>
      </c>
      <c r="L249" s="51" t="str">
        <f t="shared" si="20"/>
        <v xml:space="preserve"> </v>
      </c>
      <c r="M249" s="51"/>
      <c r="N249" s="51" t="str">
        <f t="shared" si="21"/>
        <v xml:space="preserve"> </v>
      </c>
    </row>
    <row r="250" spans="8:14" ht="15" x14ac:dyDescent="0.25">
      <c r="H250" s="50" t="str">
        <f t="shared" si="22"/>
        <v xml:space="preserve"> </v>
      </c>
      <c r="I250" s="51" t="str">
        <f t="shared" si="18"/>
        <v/>
      </c>
      <c r="J250" s="106" t="str">
        <f t="shared" si="23"/>
        <v xml:space="preserve"> </v>
      </c>
      <c r="K250" s="106" t="str">
        <f t="shared" si="19"/>
        <v xml:space="preserve"> </v>
      </c>
      <c r="L250" s="51" t="str">
        <f t="shared" si="20"/>
        <v xml:space="preserve"> </v>
      </c>
      <c r="M250" s="51"/>
      <c r="N250" s="51" t="str">
        <f t="shared" si="21"/>
        <v xml:space="preserve"> </v>
      </c>
    </row>
    <row r="251" spans="8:14" ht="15" x14ac:dyDescent="0.25">
      <c r="H251" s="50" t="str">
        <f t="shared" si="22"/>
        <v xml:space="preserve"> </v>
      </c>
      <c r="I251" s="51" t="str">
        <f t="shared" si="18"/>
        <v/>
      </c>
      <c r="J251" s="106" t="str">
        <f t="shared" si="23"/>
        <v xml:space="preserve"> </v>
      </c>
      <c r="K251" s="106" t="str">
        <f t="shared" si="19"/>
        <v xml:space="preserve"> </v>
      </c>
      <c r="L251" s="51" t="str">
        <f t="shared" si="20"/>
        <v xml:space="preserve"> </v>
      </c>
      <c r="M251" s="51"/>
      <c r="N251" s="51" t="str">
        <f t="shared" si="21"/>
        <v xml:space="preserve"> </v>
      </c>
    </row>
    <row r="252" spans="8:14" ht="15" x14ac:dyDescent="0.25">
      <c r="H252" s="50" t="str">
        <f t="shared" si="22"/>
        <v xml:space="preserve"> </v>
      </c>
      <c r="I252" s="51" t="str">
        <f t="shared" si="18"/>
        <v/>
      </c>
      <c r="J252" s="106" t="str">
        <f t="shared" si="23"/>
        <v xml:space="preserve"> </v>
      </c>
      <c r="K252" s="106" t="str">
        <f t="shared" si="19"/>
        <v xml:space="preserve"> </v>
      </c>
      <c r="L252" s="51" t="str">
        <f t="shared" si="20"/>
        <v xml:space="preserve"> </v>
      </c>
      <c r="M252" s="51"/>
      <c r="N252" s="51" t="str">
        <f t="shared" si="21"/>
        <v xml:space="preserve"> </v>
      </c>
    </row>
    <row r="253" spans="8:14" ht="15" x14ac:dyDescent="0.25">
      <c r="H253" s="50" t="str">
        <f t="shared" si="22"/>
        <v xml:space="preserve"> </v>
      </c>
      <c r="I253" s="51" t="str">
        <f t="shared" si="18"/>
        <v/>
      </c>
      <c r="J253" s="106" t="str">
        <f t="shared" si="23"/>
        <v xml:space="preserve"> </v>
      </c>
      <c r="K253" s="106" t="str">
        <f t="shared" si="19"/>
        <v xml:space="preserve"> </v>
      </c>
      <c r="L253" s="51" t="str">
        <f t="shared" si="20"/>
        <v xml:space="preserve"> </v>
      </c>
      <c r="M253" s="51"/>
      <c r="N253" s="51" t="str">
        <f t="shared" si="21"/>
        <v xml:space="preserve"> </v>
      </c>
    </row>
    <row r="254" spans="8:14" ht="15" x14ac:dyDescent="0.25">
      <c r="H254" s="50" t="str">
        <f t="shared" si="22"/>
        <v xml:space="preserve"> </v>
      </c>
      <c r="I254" s="51" t="str">
        <f t="shared" si="18"/>
        <v/>
      </c>
      <c r="J254" s="106" t="str">
        <f t="shared" si="23"/>
        <v xml:space="preserve"> </v>
      </c>
      <c r="K254" s="106" t="str">
        <f t="shared" si="19"/>
        <v xml:space="preserve"> </v>
      </c>
      <c r="L254" s="51" t="str">
        <f t="shared" si="20"/>
        <v xml:space="preserve"> </v>
      </c>
      <c r="M254" s="51"/>
      <c r="N254" s="51" t="str">
        <f t="shared" si="21"/>
        <v xml:space="preserve"> </v>
      </c>
    </row>
    <row r="255" spans="8:14" ht="15" x14ac:dyDescent="0.25">
      <c r="H255" s="50" t="str">
        <f t="shared" si="22"/>
        <v xml:space="preserve"> </v>
      </c>
      <c r="I255" s="51" t="str">
        <f t="shared" si="18"/>
        <v/>
      </c>
      <c r="J255" s="106" t="str">
        <f t="shared" si="23"/>
        <v xml:space="preserve"> </v>
      </c>
      <c r="K255" s="106" t="str">
        <f t="shared" si="19"/>
        <v xml:space="preserve"> </v>
      </c>
      <c r="L255" s="51" t="str">
        <f t="shared" si="20"/>
        <v xml:space="preserve"> </v>
      </c>
      <c r="M255" s="51"/>
      <c r="N255" s="51" t="str">
        <f t="shared" si="21"/>
        <v xml:space="preserve"> </v>
      </c>
    </row>
    <row r="256" spans="8:14" ht="15" x14ac:dyDescent="0.25">
      <c r="H256" s="50" t="str">
        <f t="shared" si="22"/>
        <v xml:space="preserve"> </v>
      </c>
      <c r="I256" s="51" t="str">
        <f t="shared" si="18"/>
        <v/>
      </c>
      <c r="J256" s="106" t="str">
        <f t="shared" si="23"/>
        <v xml:space="preserve"> </v>
      </c>
      <c r="K256" s="106" t="str">
        <f t="shared" si="19"/>
        <v xml:space="preserve"> </v>
      </c>
      <c r="L256" s="51" t="str">
        <f t="shared" si="20"/>
        <v xml:space="preserve"> </v>
      </c>
      <c r="M256" s="51"/>
      <c r="N256" s="51" t="str">
        <f t="shared" si="21"/>
        <v xml:space="preserve"> </v>
      </c>
    </row>
    <row r="257" spans="8:14" ht="15" x14ac:dyDescent="0.25">
      <c r="H257" s="50" t="str">
        <f t="shared" si="22"/>
        <v xml:space="preserve"> </v>
      </c>
      <c r="I257" s="51" t="str">
        <f t="shared" si="18"/>
        <v/>
      </c>
      <c r="J257" s="106" t="str">
        <f t="shared" si="23"/>
        <v xml:space="preserve"> </v>
      </c>
      <c r="K257" s="106" t="str">
        <f t="shared" si="19"/>
        <v xml:space="preserve"> </v>
      </c>
      <c r="L257" s="51" t="str">
        <f t="shared" si="20"/>
        <v xml:space="preserve"> </v>
      </c>
      <c r="M257" s="51"/>
      <c r="N257" s="51" t="str">
        <f t="shared" si="21"/>
        <v xml:space="preserve"> </v>
      </c>
    </row>
    <row r="258" spans="8:14" ht="15" x14ac:dyDescent="0.25">
      <c r="H258" s="50" t="str">
        <f t="shared" si="22"/>
        <v xml:space="preserve"> </v>
      </c>
      <c r="I258" s="51" t="str">
        <f t="shared" si="18"/>
        <v/>
      </c>
      <c r="J258" s="106" t="str">
        <f t="shared" si="23"/>
        <v xml:space="preserve"> </v>
      </c>
      <c r="K258" s="106" t="str">
        <f t="shared" si="19"/>
        <v xml:space="preserve"> </v>
      </c>
      <c r="L258" s="51" t="str">
        <f t="shared" si="20"/>
        <v xml:space="preserve"> </v>
      </c>
      <c r="M258" s="51"/>
      <c r="N258" s="51" t="str">
        <f t="shared" si="21"/>
        <v xml:space="preserve"> </v>
      </c>
    </row>
    <row r="259" spans="8:14" ht="15" x14ac:dyDescent="0.25">
      <c r="H259" s="50" t="str">
        <f t="shared" si="22"/>
        <v xml:space="preserve"> </v>
      </c>
      <c r="I259" s="51" t="str">
        <f t="shared" si="18"/>
        <v/>
      </c>
      <c r="J259" s="106" t="str">
        <f t="shared" si="23"/>
        <v xml:space="preserve"> </v>
      </c>
      <c r="K259" s="106" t="str">
        <f t="shared" si="19"/>
        <v xml:space="preserve"> </v>
      </c>
      <c r="L259" s="51" t="str">
        <f t="shared" si="20"/>
        <v xml:space="preserve"> </v>
      </c>
      <c r="M259" s="51"/>
      <c r="N259" s="51" t="str">
        <f t="shared" si="21"/>
        <v xml:space="preserve"> </v>
      </c>
    </row>
    <row r="260" spans="8:14" ht="15" x14ac:dyDescent="0.25">
      <c r="H260" s="50" t="str">
        <f t="shared" si="22"/>
        <v xml:space="preserve"> </v>
      </c>
      <c r="I260" s="51" t="str">
        <f t="shared" si="18"/>
        <v/>
      </c>
      <c r="J260" s="106" t="str">
        <f t="shared" si="23"/>
        <v xml:space="preserve"> </v>
      </c>
      <c r="K260" s="106" t="str">
        <f t="shared" si="19"/>
        <v xml:space="preserve"> </v>
      </c>
      <c r="L260" s="51" t="str">
        <f t="shared" si="20"/>
        <v xml:space="preserve"> </v>
      </c>
      <c r="M260" s="51"/>
      <c r="N260" s="51" t="str">
        <f t="shared" si="21"/>
        <v xml:space="preserve"> </v>
      </c>
    </row>
    <row r="261" spans="8:14" ht="15" x14ac:dyDescent="0.25">
      <c r="H261" s="50" t="str">
        <f t="shared" si="22"/>
        <v xml:space="preserve"> </v>
      </c>
      <c r="I261" s="51" t="str">
        <f t="shared" si="18"/>
        <v/>
      </c>
      <c r="J261" s="106" t="str">
        <f t="shared" si="23"/>
        <v xml:space="preserve"> </v>
      </c>
      <c r="K261" s="106" t="str">
        <f t="shared" si="19"/>
        <v xml:space="preserve"> </v>
      </c>
      <c r="L261" s="51" t="str">
        <f t="shared" si="20"/>
        <v xml:space="preserve"> </v>
      </c>
      <c r="M261" s="51"/>
      <c r="N261" s="51" t="str">
        <f t="shared" si="21"/>
        <v xml:space="preserve"> </v>
      </c>
    </row>
    <row r="262" spans="8:14" ht="15" x14ac:dyDescent="0.25">
      <c r="H262" s="50" t="str">
        <f t="shared" si="22"/>
        <v xml:space="preserve"> </v>
      </c>
      <c r="I262" s="51" t="str">
        <f t="shared" si="18"/>
        <v/>
      </c>
      <c r="J262" s="106" t="str">
        <f t="shared" si="23"/>
        <v xml:space="preserve"> </v>
      </c>
      <c r="K262" s="106" t="str">
        <f t="shared" si="19"/>
        <v xml:space="preserve"> </v>
      </c>
      <c r="L262" s="51" t="str">
        <f t="shared" si="20"/>
        <v xml:space="preserve"> </v>
      </c>
      <c r="M262" s="51"/>
      <c r="N262" s="51" t="str">
        <f t="shared" si="21"/>
        <v xml:space="preserve"> </v>
      </c>
    </row>
    <row r="263" spans="8:14" ht="15" x14ac:dyDescent="0.25">
      <c r="H263" s="50" t="str">
        <f t="shared" si="22"/>
        <v xml:space="preserve"> </v>
      </c>
      <c r="I263" s="51" t="str">
        <f t="shared" si="18"/>
        <v/>
      </c>
      <c r="J263" s="106" t="str">
        <f t="shared" si="23"/>
        <v xml:space="preserve"> </v>
      </c>
      <c r="K263" s="106" t="str">
        <f t="shared" si="19"/>
        <v xml:space="preserve"> </v>
      </c>
      <c r="L263" s="51" t="str">
        <f t="shared" si="20"/>
        <v xml:space="preserve"> </v>
      </c>
      <c r="M263" s="51"/>
      <c r="N263" s="51" t="str">
        <f t="shared" si="21"/>
        <v xml:space="preserve"> </v>
      </c>
    </row>
    <row r="264" spans="8:14" ht="15" x14ac:dyDescent="0.25">
      <c r="H264" s="50" t="str">
        <f t="shared" si="22"/>
        <v xml:space="preserve"> </v>
      </c>
      <c r="I264" s="51" t="str">
        <f t="shared" si="18"/>
        <v/>
      </c>
      <c r="J264" s="106" t="str">
        <f t="shared" si="23"/>
        <v xml:space="preserve"> </v>
      </c>
      <c r="K264" s="106" t="str">
        <f t="shared" si="19"/>
        <v xml:space="preserve"> </v>
      </c>
      <c r="L264" s="51" t="str">
        <f t="shared" si="20"/>
        <v xml:space="preserve"> </v>
      </c>
      <c r="M264" s="51"/>
      <c r="N264" s="51" t="str">
        <f t="shared" si="21"/>
        <v xml:space="preserve"> </v>
      </c>
    </row>
    <row r="265" spans="8:14" ht="15" x14ac:dyDescent="0.25">
      <c r="H265" s="50" t="str">
        <f t="shared" si="22"/>
        <v xml:space="preserve"> </v>
      </c>
      <c r="I265" s="51" t="str">
        <f t="shared" si="18"/>
        <v/>
      </c>
      <c r="J265" s="106" t="str">
        <f t="shared" si="23"/>
        <v xml:space="preserve"> </v>
      </c>
      <c r="K265" s="106" t="str">
        <f t="shared" si="19"/>
        <v xml:space="preserve"> </v>
      </c>
      <c r="L265" s="51" t="str">
        <f t="shared" si="20"/>
        <v xml:space="preserve"> </v>
      </c>
      <c r="M265" s="51"/>
      <c r="N265" s="51" t="str">
        <f t="shared" si="21"/>
        <v xml:space="preserve"> </v>
      </c>
    </row>
    <row r="266" spans="8:14" ht="15" x14ac:dyDescent="0.25">
      <c r="H266" s="50" t="str">
        <f t="shared" si="22"/>
        <v xml:space="preserve"> </v>
      </c>
      <c r="I266" s="51" t="str">
        <f t="shared" si="18"/>
        <v/>
      </c>
      <c r="J266" s="106" t="str">
        <f t="shared" si="23"/>
        <v xml:space="preserve"> </v>
      </c>
      <c r="K266" s="106" t="str">
        <f t="shared" si="19"/>
        <v xml:space="preserve"> </v>
      </c>
      <c r="L266" s="51" t="str">
        <f t="shared" si="20"/>
        <v xml:space="preserve"> </v>
      </c>
      <c r="M266" s="51"/>
      <c r="N266" s="51" t="str">
        <f t="shared" si="21"/>
        <v xml:space="preserve"> </v>
      </c>
    </row>
    <row r="267" spans="8:14" ht="15" x14ac:dyDescent="0.25">
      <c r="H267" s="50" t="str">
        <f t="shared" si="22"/>
        <v xml:space="preserve"> </v>
      </c>
      <c r="I267" s="51" t="str">
        <f t="shared" si="18"/>
        <v/>
      </c>
      <c r="J267" s="106" t="str">
        <f t="shared" si="23"/>
        <v xml:space="preserve"> </v>
      </c>
      <c r="K267" s="106" t="str">
        <f t="shared" si="19"/>
        <v xml:space="preserve"> </v>
      </c>
      <c r="L267" s="51" t="str">
        <f t="shared" si="20"/>
        <v xml:space="preserve"> </v>
      </c>
      <c r="M267" s="51"/>
      <c r="N267" s="51" t="str">
        <f t="shared" si="21"/>
        <v xml:space="preserve"> </v>
      </c>
    </row>
    <row r="268" spans="8:14" ht="15" x14ac:dyDescent="0.25">
      <c r="H268" s="50" t="str">
        <f t="shared" si="22"/>
        <v xml:space="preserve"> </v>
      </c>
      <c r="I268" s="51" t="str">
        <f t="shared" si="18"/>
        <v/>
      </c>
      <c r="J268" s="106" t="str">
        <f t="shared" si="23"/>
        <v xml:space="preserve"> </v>
      </c>
      <c r="K268" s="106" t="str">
        <f t="shared" si="19"/>
        <v xml:space="preserve"> </v>
      </c>
      <c r="L268" s="51" t="str">
        <f t="shared" si="20"/>
        <v xml:space="preserve"> </v>
      </c>
      <c r="M268" s="51"/>
      <c r="N268" s="51" t="str">
        <f t="shared" si="21"/>
        <v xml:space="preserve"> </v>
      </c>
    </row>
    <row r="269" spans="8:14" ht="15" x14ac:dyDescent="0.25">
      <c r="H269" s="50" t="str">
        <f t="shared" si="22"/>
        <v xml:space="preserve"> </v>
      </c>
      <c r="I269" s="51" t="str">
        <f t="shared" si="18"/>
        <v/>
      </c>
      <c r="J269" s="106" t="str">
        <f t="shared" si="23"/>
        <v xml:space="preserve"> </v>
      </c>
      <c r="K269" s="106" t="str">
        <f t="shared" si="19"/>
        <v xml:space="preserve"> </v>
      </c>
      <c r="L269" s="51" t="str">
        <f t="shared" si="20"/>
        <v xml:space="preserve"> </v>
      </c>
      <c r="M269" s="51"/>
      <c r="N269" s="51" t="str">
        <f t="shared" si="21"/>
        <v xml:space="preserve"> </v>
      </c>
    </row>
    <row r="270" spans="8:14" ht="15" x14ac:dyDescent="0.25">
      <c r="H270" s="50" t="str">
        <f t="shared" si="22"/>
        <v xml:space="preserve"> </v>
      </c>
      <c r="I270" s="51" t="str">
        <f t="shared" si="18"/>
        <v/>
      </c>
      <c r="J270" s="106" t="str">
        <f t="shared" si="23"/>
        <v xml:space="preserve"> </v>
      </c>
      <c r="K270" s="106" t="str">
        <f t="shared" si="19"/>
        <v xml:space="preserve"> </v>
      </c>
      <c r="L270" s="51" t="str">
        <f t="shared" si="20"/>
        <v xml:space="preserve"> </v>
      </c>
      <c r="M270" s="51"/>
      <c r="N270" s="51" t="str">
        <f t="shared" si="21"/>
        <v xml:space="preserve"> </v>
      </c>
    </row>
    <row r="271" spans="8:14" ht="15" x14ac:dyDescent="0.25">
      <c r="H271" s="50" t="str">
        <f t="shared" si="22"/>
        <v xml:space="preserve"> </v>
      </c>
      <c r="I271" s="51" t="str">
        <f t="shared" si="18"/>
        <v/>
      </c>
      <c r="J271" s="106" t="str">
        <f t="shared" si="23"/>
        <v xml:space="preserve"> </v>
      </c>
      <c r="K271" s="106" t="str">
        <f t="shared" si="19"/>
        <v xml:space="preserve"> </v>
      </c>
      <c r="L271" s="51" t="str">
        <f t="shared" si="20"/>
        <v xml:space="preserve"> </v>
      </c>
      <c r="M271" s="51"/>
      <c r="N271" s="51" t="str">
        <f t="shared" si="21"/>
        <v xml:space="preserve"> </v>
      </c>
    </row>
    <row r="272" spans="8:14" ht="15" x14ac:dyDescent="0.25">
      <c r="H272" s="50" t="str">
        <f t="shared" si="22"/>
        <v xml:space="preserve"> </v>
      </c>
      <c r="I272" s="51" t="str">
        <f t="shared" si="18"/>
        <v/>
      </c>
      <c r="J272" s="106" t="str">
        <f t="shared" si="23"/>
        <v xml:space="preserve"> </v>
      </c>
      <c r="K272" s="106" t="str">
        <f t="shared" si="19"/>
        <v xml:space="preserve"> </v>
      </c>
      <c r="L272" s="51" t="str">
        <f t="shared" si="20"/>
        <v xml:space="preserve"> </v>
      </c>
      <c r="M272" s="51"/>
      <c r="N272" s="51" t="str">
        <f t="shared" si="21"/>
        <v xml:space="preserve"> </v>
      </c>
    </row>
    <row r="273" spans="8:14" ht="15" x14ac:dyDescent="0.25">
      <c r="H273" s="50" t="str">
        <f t="shared" si="22"/>
        <v xml:space="preserve"> </v>
      </c>
      <c r="I273" s="51" t="str">
        <f t="shared" ref="I273:I315" si="24">IF(H272&lt;=$S$15,IF(credito="Francesa",IF(H273&lt;=$S$15,$I272,0),IF(credito="Alemana",IF(H273&lt;=$S$15,J273+K273,0))),"")</f>
        <v/>
      </c>
      <c r="J273" s="106" t="str">
        <f t="shared" si="23"/>
        <v xml:space="preserve"> </v>
      </c>
      <c r="K273" s="106" t="str">
        <f t="shared" ref="K273:K315" si="25">IF(H273&lt;=$S$15,IF(credito="Francesa",I273-J273,IF(credito="Alemana",IF(H273&lt;=$S$15,$K272,0)))," ")</f>
        <v xml:space="preserve"> </v>
      </c>
      <c r="L273" s="51" t="str">
        <f t="shared" ref="L273:L315" si="26">IF(H273&lt;=$S$15,L272-K273," ")</f>
        <v xml:space="preserve"> </v>
      </c>
      <c r="M273" s="51"/>
      <c r="N273" s="51" t="str">
        <f t="shared" ref="N273:N315" si="27">IF(H273&lt;=$S$15,-I273," ")</f>
        <v xml:space="preserve"> </v>
      </c>
    </row>
    <row r="274" spans="8:14" ht="15" x14ac:dyDescent="0.25">
      <c r="H274" s="50" t="str">
        <f t="shared" ref="H274:H315" si="28">IF($H273&gt;=$S$15," ",H273+1)</f>
        <v xml:space="preserve"> </v>
      </c>
      <c r="I274" s="51" t="str">
        <f t="shared" si="24"/>
        <v/>
      </c>
      <c r="J274" s="106" t="str">
        <f t="shared" ref="J274:J315" si="29">IF(H274&lt;=$S$15,L273*$D$26/$D$22," ")</f>
        <v xml:space="preserve"> </v>
      </c>
      <c r="K274" s="106" t="str">
        <f t="shared" si="25"/>
        <v xml:space="preserve"> </v>
      </c>
      <c r="L274" s="51" t="str">
        <f t="shared" si="26"/>
        <v xml:space="preserve"> </v>
      </c>
      <c r="M274" s="51"/>
      <c r="N274" s="51" t="str">
        <f t="shared" si="27"/>
        <v xml:space="preserve"> </v>
      </c>
    </row>
    <row r="275" spans="8:14" ht="15" x14ac:dyDescent="0.25">
      <c r="H275" s="50" t="str">
        <f t="shared" si="28"/>
        <v xml:space="preserve"> </v>
      </c>
      <c r="I275" s="51" t="str">
        <f t="shared" si="24"/>
        <v/>
      </c>
      <c r="J275" s="106" t="str">
        <f t="shared" si="29"/>
        <v xml:space="preserve"> </v>
      </c>
      <c r="K275" s="106" t="str">
        <f t="shared" si="25"/>
        <v xml:space="preserve"> </v>
      </c>
      <c r="L275" s="51" t="str">
        <f t="shared" si="26"/>
        <v xml:space="preserve"> </v>
      </c>
      <c r="M275" s="51"/>
      <c r="N275" s="51" t="str">
        <f t="shared" si="27"/>
        <v xml:space="preserve"> </v>
      </c>
    </row>
    <row r="276" spans="8:14" ht="15" x14ac:dyDescent="0.25">
      <c r="H276" s="50" t="str">
        <f t="shared" si="28"/>
        <v xml:space="preserve"> </v>
      </c>
      <c r="I276" s="51" t="str">
        <f t="shared" si="24"/>
        <v/>
      </c>
      <c r="J276" s="106" t="str">
        <f t="shared" si="29"/>
        <v xml:space="preserve"> </v>
      </c>
      <c r="K276" s="106" t="str">
        <f t="shared" si="25"/>
        <v xml:space="preserve"> </v>
      </c>
      <c r="L276" s="51" t="str">
        <f t="shared" si="26"/>
        <v xml:space="preserve"> </v>
      </c>
      <c r="M276" s="51"/>
      <c r="N276" s="51" t="str">
        <f t="shared" si="27"/>
        <v xml:space="preserve"> </v>
      </c>
    </row>
    <row r="277" spans="8:14" ht="15" x14ac:dyDescent="0.25">
      <c r="H277" s="50" t="str">
        <f t="shared" si="28"/>
        <v xml:space="preserve"> </v>
      </c>
      <c r="I277" s="51" t="str">
        <f t="shared" si="24"/>
        <v/>
      </c>
      <c r="J277" s="106" t="str">
        <f t="shared" si="29"/>
        <v xml:space="preserve"> </v>
      </c>
      <c r="K277" s="106" t="str">
        <f t="shared" si="25"/>
        <v xml:space="preserve"> </v>
      </c>
      <c r="L277" s="51" t="str">
        <f t="shared" si="26"/>
        <v xml:space="preserve"> </v>
      </c>
      <c r="M277" s="51"/>
      <c r="N277" s="51" t="str">
        <f t="shared" si="27"/>
        <v xml:space="preserve"> </v>
      </c>
    </row>
    <row r="278" spans="8:14" ht="15" x14ac:dyDescent="0.25">
      <c r="H278" s="50" t="str">
        <f t="shared" si="28"/>
        <v xml:space="preserve"> </v>
      </c>
      <c r="I278" s="51" t="str">
        <f t="shared" si="24"/>
        <v/>
      </c>
      <c r="J278" s="106" t="str">
        <f t="shared" si="29"/>
        <v xml:space="preserve"> </v>
      </c>
      <c r="K278" s="106" t="str">
        <f t="shared" si="25"/>
        <v xml:space="preserve"> </v>
      </c>
      <c r="L278" s="51" t="str">
        <f t="shared" si="26"/>
        <v xml:space="preserve"> </v>
      </c>
      <c r="M278" s="51"/>
      <c r="N278" s="51" t="str">
        <f t="shared" si="27"/>
        <v xml:space="preserve"> </v>
      </c>
    </row>
    <row r="279" spans="8:14" ht="15" x14ac:dyDescent="0.25">
      <c r="H279" s="50" t="str">
        <f t="shared" si="28"/>
        <v xml:space="preserve"> </v>
      </c>
      <c r="I279" s="51" t="str">
        <f t="shared" si="24"/>
        <v/>
      </c>
      <c r="J279" s="106" t="str">
        <f t="shared" si="29"/>
        <v xml:space="preserve"> </v>
      </c>
      <c r="K279" s="106" t="str">
        <f t="shared" si="25"/>
        <v xml:space="preserve"> </v>
      </c>
      <c r="L279" s="51" t="str">
        <f t="shared" si="26"/>
        <v xml:space="preserve"> </v>
      </c>
      <c r="M279" s="51"/>
      <c r="N279" s="51" t="str">
        <f t="shared" si="27"/>
        <v xml:space="preserve"> </v>
      </c>
    </row>
    <row r="280" spans="8:14" ht="15" x14ac:dyDescent="0.25">
      <c r="H280" s="50" t="str">
        <f t="shared" si="28"/>
        <v xml:space="preserve"> </v>
      </c>
      <c r="I280" s="51" t="str">
        <f t="shared" si="24"/>
        <v/>
      </c>
      <c r="J280" s="106" t="str">
        <f t="shared" si="29"/>
        <v xml:space="preserve"> </v>
      </c>
      <c r="K280" s="106" t="str">
        <f t="shared" si="25"/>
        <v xml:space="preserve"> </v>
      </c>
      <c r="L280" s="51" t="str">
        <f t="shared" si="26"/>
        <v xml:space="preserve"> </v>
      </c>
      <c r="M280" s="51"/>
      <c r="N280" s="51" t="str">
        <f t="shared" si="27"/>
        <v xml:space="preserve"> </v>
      </c>
    </row>
    <row r="281" spans="8:14" ht="15" x14ac:dyDescent="0.25">
      <c r="H281" s="50" t="str">
        <f t="shared" si="28"/>
        <v xml:space="preserve"> </v>
      </c>
      <c r="I281" s="51" t="str">
        <f t="shared" si="24"/>
        <v/>
      </c>
      <c r="J281" s="106" t="str">
        <f t="shared" si="29"/>
        <v xml:space="preserve"> </v>
      </c>
      <c r="K281" s="106" t="str">
        <f t="shared" si="25"/>
        <v xml:space="preserve"> </v>
      </c>
      <c r="L281" s="51" t="str">
        <f t="shared" si="26"/>
        <v xml:space="preserve"> </v>
      </c>
      <c r="M281" s="51"/>
      <c r="N281" s="51" t="str">
        <f t="shared" si="27"/>
        <v xml:space="preserve"> </v>
      </c>
    </row>
    <row r="282" spans="8:14" ht="15" x14ac:dyDescent="0.25">
      <c r="H282" s="50" t="str">
        <f t="shared" si="28"/>
        <v xml:space="preserve"> </v>
      </c>
      <c r="I282" s="51" t="str">
        <f t="shared" si="24"/>
        <v/>
      </c>
      <c r="J282" s="106" t="str">
        <f t="shared" si="29"/>
        <v xml:space="preserve"> </v>
      </c>
      <c r="K282" s="106" t="str">
        <f t="shared" si="25"/>
        <v xml:space="preserve"> </v>
      </c>
      <c r="L282" s="51" t="str">
        <f t="shared" si="26"/>
        <v xml:space="preserve"> </v>
      </c>
      <c r="M282" s="51"/>
      <c r="N282" s="51" t="str">
        <f t="shared" si="27"/>
        <v xml:space="preserve"> </v>
      </c>
    </row>
    <row r="283" spans="8:14" ht="15" x14ac:dyDescent="0.25">
      <c r="H283" s="50" t="str">
        <f t="shared" si="28"/>
        <v xml:space="preserve"> </v>
      </c>
      <c r="I283" s="51" t="str">
        <f t="shared" si="24"/>
        <v/>
      </c>
      <c r="J283" s="106" t="str">
        <f t="shared" si="29"/>
        <v xml:space="preserve"> </v>
      </c>
      <c r="K283" s="106" t="str">
        <f t="shared" si="25"/>
        <v xml:space="preserve"> </v>
      </c>
      <c r="L283" s="51" t="str">
        <f t="shared" si="26"/>
        <v xml:space="preserve"> </v>
      </c>
      <c r="M283" s="51"/>
      <c r="N283" s="51" t="str">
        <f t="shared" si="27"/>
        <v xml:space="preserve"> </v>
      </c>
    </row>
    <row r="284" spans="8:14" ht="15" x14ac:dyDescent="0.25">
      <c r="H284" s="50" t="str">
        <f t="shared" si="28"/>
        <v xml:space="preserve"> </v>
      </c>
      <c r="I284" s="51" t="str">
        <f t="shared" si="24"/>
        <v/>
      </c>
      <c r="J284" s="106" t="str">
        <f t="shared" si="29"/>
        <v xml:space="preserve"> </v>
      </c>
      <c r="K284" s="106" t="str">
        <f t="shared" si="25"/>
        <v xml:space="preserve"> </v>
      </c>
      <c r="L284" s="51" t="str">
        <f t="shared" si="26"/>
        <v xml:space="preserve"> </v>
      </c>
      <c r="M284" s="51"/>
      <c r="N284" s="51" t="str">
        <f t="shared" si="27"/>
        <v xml:space="preserve"> </v>
      </c>
    </row>
    <row r="285" spans="8:14" ht="15" x14ac:dyDescent="0.25">
      <c r="H285" s="50" t="str">
        <f t="shared" si="28"/>
        <v xml:space="preserve"> </v>
      </c>
      <c r="I285" s="51" t="str">
        <f t="shared" si="24"/>
        <v/>
      </c>
      <c r="J285" s="106" t="str">
        <f t="shared" si="29"/>
        <v xml:space="preserve"> </v>
      </c>
      <c r="K285" s="106" t="str">
        <f t="shared" si="25"/>
        <v xml:space="preserve"> </v>
      </c>
      <c r="L285" s="51" t="str">
        <f t="shared" si="26"/>
        <v xml:space="preserve"> </v>
      </c>
      <c r="M285" s="51"/>
      <c r="N285" s="51" t="str">
        <f t="shared" si="27"/>
        <v xml:space="preserve"> </v>
      </c>
    </row>
    <row r="286" spans="8:14" ht="15" x14ac:dyDescent="0.25">
      <c r="H286" s="50" t="str">
        <f t="shared" si="28"/>
        <v xml:space="preserve"> </v>
      </c>
      <c r="I286" s="51" t="str">
        <f t="shared" si="24"/>
        <v/>
      </c>
      <c r="J286" s="106" t="str">
        <f t="shared" si="29"/>
        <v xml:space="preserve"> </v>
      </c>
      <c r="K286" s="106" t="str">
        <f t="shared" si="25"/>
        <v xml:space="preserve"> </v>
      </c>
      <c r="L286" s="51" t="str">
        <f t="shared" si="26"/>
        <v xml:space="preserve"> </v>
      </c>
      <c r="M286" s="51"/>
      <c r="N286" s="51" t="str">
        <f t="shared" si="27"/>
        <v xml:space="preserve"> </v>
      </c>
    </row>
    <row r="287" spans="8:14" ht="15" x14ac:dyDescent="0.25">
      <c r="H287" s="50" t="str">
        <f t="shared" si="28"/>
        <v xml:space="preserve"> </v>
      </c>
      <c r="I287" s="51" t="str">
        <f t="shared" si="24"/>
        <v/>
      </c>
      <c r="J287" s="106" t="str">
        <f t="shared" si="29"/>
        <v xml:space="preserve"> </v>
      </c>
      <c r="K287" s="106" t="str">
        <f t="shared" si="25"/>
        <v xml:space="preserve"> </v>
      </c>
      <c r="L287" s="51" t="str">
        <f t="shared" si="26"/>
        <v xml:space="preserve"> </v>
      </c>
      <c r="M287" s="51"/>
      <c r="N287" s="51" t="str">
        <f t="shared" si="27"/>
        <v xml:space="preserve"> </v>
      </c>
    </row>
    <row r="288" spans="8:14" ht="15" x14ac:dyDescent="0.25">
      <c r="H288" s="50" t="str">
        <f t="shared" si="28"/>
        <v xml:space="preserve"> </v>
      </c>
      <c r="I288" s="51" t="str">
        <f t="shared" si="24"/>
        <v/>
      </c>
      <c r="J288" s="106" t="str">
        <f t="shared" si="29"/>
        <v xml:space="preserve"> </v>
      </c>
      <c r="K288" s="106" t="str">
        <f t="shared" si="25"/>
        <v xml:space="preserve"> </v>
      </c>
      <c r="L288" s="51" t="str">
        <f t="shared" si="26"/>
        <v xml:space="preserve"> </v>
      </c>
      <c r="M288" s="51"/>
      <c r="N288" s="51" t="str">
        <f t="shared" si="27"/>
        <v xml:space="preserve"> </v>
      </c>
    </row>
    <row r="289" spans="8:14" ht="15" x14ac:dyDescent="0.25">
      <c r="H289" s="50" t="str">
        <f t="shared" si="28"/>
        <v xml:space="preserve"> </v>
      </c>
      <c r="I289" s="51" t="str">
        <f t="shared" si="24"/>
        <v/>
      </c>
      <c r="J289" s="106" t="str">
        <f t="shared" si="29"/>
        <v xml:space="preserve"> </v>
      </c>
      <c r="K289" s="106" t="str">
        <f t="shared" si="25"/>
        <v xml:space="preserve"> </v>
      </c>
      <c r="L289" s="51" t="str">
        <f t="shared" si="26"/>
        <v xml:space="preserve"> </v>
      </c>
      <c r="M289" s="51"/>
      <c r="N289" s="51" t="str">
        <f t="shared" si="27"/>
        <v xml:space="preserve"> </v>
      </c>
    </row>
    <row r="290" spans="8:14" ht="15" x14ac:dyDescent="0.25">
      <c r="H290" s="50" t="str">
        <f t="shared" si="28"/>
        <v xml:space="preserve"> </v>
      </c>
      <c r="I290" s="51" t="str">
        <f t="shared" si="24"/>
        <v/>
      </c>
      <c r="J290" s="106" t="str">
        <f t="shared" si="29"/>
        <v xml:space="preserve"> </v>
      </c>
      <c r="K290" s="106" t="str">
        <f t="shared" si="25"/>
        <v xml:space="preserve"> </v>
      </c>
      <c r="L290" s="51" t="str">
        <f t="shared" si="26"/>
        <v xml:space="preserve"> </v>
      </c>
      <c r="M290" s="51"/>
      <c r="N290" s="51" t="str">
        <f t="shared" si="27"/>
        <v xml:space="preserve"> </v>
      </c>
    </row>
    <row r="291" spans="8:14" ht="15" x14ac:dyDescent="0.25">
      <c r="H291" s="50" t="str">
        <f t="shared" si="28"/>
        <v xml:space="preserve"> </v>
      </c>
      <c r="I291" s="51" t="str">
        <f t="shared" si="24"/>
        <v/>
      </c>
      <c r="J291" s="106" t="str">
        <f t="shared" si="29"/>
        <v xml:space="preserve"> </v>
      </c>
      <c r="K291" s="106" t="str">
        <f t="shared" si="25"/>
        <v xml:space="preserve"> </v>
      </c>
      <c r="L291" s="51" t="str">
        <f t="shared" si="26"/>
        <v xml:space="preserve"> </v>
      </c>
      <c r="M291" s="51"/>
      <c r="N291" s="51" t="str">
        <f t="shared" si="27"/>
        <v xml:space="preserve"> </v>
      </c>
    </row>
    <row r="292" spans="8:14" ht="15" x14ac:dyDescent="0.25">
      <c r="H292" s="50" t="str">
        <f t="shared" si="28"/>
        <v xml:space="preserve"> </v>
      </c>
      <c r="I292" s="51" t="str">
        <f t="shared" si="24"/>
        <v/>
      </c>
      <c r="J292" s="106" t="str">
        <f t="shared" si="29"/>
        <v xml:space="preserve"> </v>
      </c>
      <c r="K292" s="106" t="str">
        <f t="shared" si="25"/>
        <v xml:space="preserve"> </v>
      </c>
      <c r="L292" s="51" t="str">
        <f t="shared" si="26"/>
        <v xml:space="preserve"> </v>
      </c>
      <c r="M292" s="51"/>
      <c r="N292" s="51" t="str">
        <f t="shared" si="27"/>
        <v xml:space="preserve"> </v>
      </c>
    </row>
    <row r="293" spans="8:14" ht="15" x14ac:dyDescent="0.25">
      <c r="H293" s="50" t="str">
        <f t="shared" si="28"/>
        <v xml:space="preserve"> </v>
      </c>
      <c r="I293" s="51" t="str">
        <f t="shared" si="24"/>
        <v/>
      </c>
      <c r="J293" s="106" t="str">
        <f t="shared" si="29"/>
        <v xml:space="preserve"> </v>
      </c>
      <c r="K293" s="106" t="str">
        <f t="shared" si="25"/>
        <v xml:space="preserve"> </v>
      </c>
      <c r="L293" s="51" t="str">
        <f t="shared" si="26"/>
        <v xml:space="preserve"> </v>
      </c>
      <c r="M293" s="51"/>
      <c r="N293" s="51" t="str">
        <f t="shared" si="27"/>
        <v xml:space="preserve"> </v>
      </c>
    </row>
    <row r="294" spans="8:14" ht="15" x14ac:dyDescent="0.25">
      <c r="H294" s="50" t="str">
        <f t="shared" si="28"/>
        <v xml:space="preserve"> </v>
      </c>
      <c r="I294" s="51" t="str">
        <f t="shared" si="24"/>
        <v/>
      </c>
      <c r="J294" s="106" t="str">
        <f t="shared" si="29"/>
        <v xml:space="preserve"> </v>
      </c>
      <c r="K294" s="106" t="str">
        <f t="shared" si="25"/>
        <v xml:space="preserve"> </v>
      </c>
      <c r="L294" s="51" t="str">
        <f t="shared" si="26"/>
        <v xml:space="preserve"> </v>
      </c>
      <c r="M294" s="51"/>
      <c r="N294" s="51" t="str">
        <f t="shared" si="27"/>
        <v xml:space="preserve"> </v>
      </c>
    </row>
    <row r="295" spans="8:14" ht="15" x14ac:dyDescent="0.25">
      <c r="H295" s="50" t="str">
        <f t="shared" si="28"/>
        <v xml:space="preserve"> </v>
      </c>
      <c r="I295" s="51" t="str">
        <f t="shared" si="24"/>
        <v/>
      </c>
      <c r="J295" s="106" t="str">
        <f t="shared" si="29"/>
        <v xml:space="preserve"> </v>
      </c>
      <c r="K295" s="106" t="str">
        <f t="shared" si="25"/>
        <v xml:space="preserve"> </v>
      </c>
      <c r="L295" s="51" t="str">
        <f t="shared" si="26"/>
        <v xml:space="preserve"> </v>
      </c>
      <c r="M295" s="51"/>
      <c r="N295" s="51" t="str">
        <f t="shared" si="27"/>
        <v xml:space="preserve"> </v>
      </c>
    </row>
    <row r="296" spans="8:14" ht="15" x14ac:dyDescent="0.25">
      <c r="H296" s="50" t="str">
        <f t="shared" si="28"/>
        <v xml:space="preserve"> </v>
      </c>
      <c r="I296" s="51" t="str">
        <f t="shared" si="24"/>
        <v/>
      </c>
      <c r="J296" s="106" t="str">
        <f t="shared" si="29"/>
        <v xml:space="preserve"> </v>
      </c>
      <c r="K296" s="106" t="str">
        <f t="shared" si="25"/>
        <v xml:space="preserve"> </v>
      </c>
      <c r="L296" s="51" t="str">
        <f t="shared" si="26"/>
        <v xml:space="preserve"> </v>
      </c>
      <c r="M296" s="51"/>
      <c r="N296" s="51" t="str">
        <f t="shared" si="27"/>
        <v xml:space="preserve"> </v>
      </c>
    </row>
    <row r="297" spans="8:14" ht="15" x14ac:dyDescent="0.25">
      <c r="H297" s="50" t="str">
        <f t="shared" si="28"/>
        <v xml:space="preserve"> </v>
      </c>
      <c r="I297" s="51" t="str">
        <f t="shared" si="24"/>
        <v/>
      </c>
      <c r="J297" s="106" t="str">
        <f t="shared" si="29"/>
        <v xml:space="preserve"> </v>
      </c>
      <c r="K297" s="106" t="str">
        <f t="shared" si="25"/>
        <v xml:space="preserve"> </v>
      </c>
      <c r="L297" s="51" t="str">
        <f t="shared" si="26"/>
        <v xml:space="preserve"> </v>
      </c>
      <c r="M297" s="51"/>
      <c r="N297" s="51" t="str">
        <f t="shared" si="27"/>
        <v xml:space="preserve"> </v>
      </c>
    </row>
    <row r="298" spans="8:14" ht="15" x14ac:dyDescent="0.25">
      <c r="H298" s="50" t="str">
        <f t="shared" si="28"/>
        <v xml:space="preserve"> </v>
      </c>
      <c r="I298" s="51" t="str">
        <f t="shared" si="24"/>
        <v/>
      </c>
      <c r="J298" s="106" t="str">
        <f t="shared" si="29"/>
        <v xml:space="preserve"> </v>
      </c>
      <c r="K298" s="106" t="str">
        <f t="shared" si="25"/>
        <v xml:space="preserve"> </v>
      </c>
      <c r="L298" s="51" t="str">
        <f t="shared" si="26"/>
        <v xml:space="preserve"> </v>
      </c>
      <c r="M298" s="51"/>
      <c r="N298" s="51" t="str">
        <f t="shared" si="27"/>
        <v xml:space="preserve"> </v>
      </c>
    </row>
    <row r="299" spans="8:14" ht="15" x14ac:dyDescent="0.25">
      <c r="H299" s="50" t="str">
        <f t="shared" si="28"/>
        <v xml:space="preserve"> </v>
      </c>
      <c r="I299" s="51" t="str">
        <f t="shared" si="24"/>
        <v/>
      </c>
      <c r="J299" s="106" t="str">
        <f t="shared" si="29"/>
        <v xml:space="preserve"> </v>
      </c>
      <c r="K299" s="106" t="str">
        <f t="shared" si="25"/>
        <v xml:space="preserve"> </v>
      </c>
      <c r="L299" s="51" t="str">
        <f t="shared" si="26"/>
        <v xml:space="preserve"> </v>
      </c>
      <c r="M299" s="51"/>
      <c r="N299" s="51" t="str">
        <f t="shared" si="27"/>
        <v xml:space="preserve"> </v>
      </c>
    </row>
    <row r="300" spans="8:14" ht="15" x14ac:dyDescent="0.25">
      <c r="H300" s="50" t="str">
        <f t="shared" si="28"/>
        <v xml:space="preserve"> </v>
      </c>
      <c r="I300" s="51" t="str">
        <f t="shared" si="24"/>
        <v/>
      </c>
      <c r="J300" s="106" t="str">
        <f t="shared" si="29"/>
        <v xml:space="preserve"> </v>
      </c>
      <c r="K300" s="106" t="str">
        <f t="shared" si="25"/>
        <v xml:space="preserve"> </v>
      </c>
      <c r="L300" s="51" t="str">
        <f t="shared" si="26"/>
        <v xml:space="preserve"> </v>
      </c>
      <c r="M300" s="51"/>
      <c r="N300" s="51" t="str">
        <f t="shared" si="27"/>
        <v xml:space="preserve"> </v>
      </c>
    </row>
    <row r="301" spans="8:14" ht="15" x14ac:dyDescent="0.25">
      <c r="H301" s="50" t="str">
        <f t="shared" si="28"/>
        <v xml:space="preserve"> </v>
      </c>
      <c r="I301" s="51" t="str">
        <f t="shared" si="24"/>
        <v/>
      </c>
      <c r="J301" s="106" t="str">
        <f t="shared" si="29"/>
        <v xml:space="preserve"> </v>
      </c>
      <c r="K301" s="106" t="str">
        <f t="shared" si="25"/>
        <v xml:space="preserve"> </v>
      </c>
      <c r="L301" s="51" t="str">
        <f t="shared" si="26"/>
        <v xml:space="preserve"> </v>
      </c>
      <c r="M301" s="51"/>
      <c r="N301" s="51" t="str">
        <f t="shared" si="27"/>
        <v xml:space="preserve"> </v>
      </c>
    </row>
    <row r="302" spans="8:14" ht="15" x14ac:dyDescent="0.25">
      <c r="H302" s="50" t="str">
        <f t="shared" si="28"/>
        <v xml:space="preserve"> </v>
      </c>
      <c r="I302" s="51" t="str">
        <f t="shared" si="24"/>
        <v/>
      </c>
      <c r="J302" s="106" t="str">
        <f t="shared" si="29"/>
        <v xml:space="preserve"> </v>
      </c>
      <c r="K302" s="106" t="str">
        <f t="shared" si="25"/>
        <v xml:space="preserve"> </v>
      </c>
      <c r="L302" s="51" t="str">
        <f t="shared" si="26"/>
        <v xml:space="preserve"> </v>
      </c>
      <c r="M302" s="51"/>
      <c r="N302" s="51" t="str">
        <f t="shared" si="27"/>
        <v xml:space="preserve"> </v>
      </c>
    </row>
    <row r="303" spans="8:14" ht="15" x14ac:dyDescent="0.25">
      <c r="H303" s="50" t="str">
        <f t="shared" si="28"/>
        <v xml:space="preserve"> </v>
      </c>
      <c r="I303" s="51" t="str">
        <f t="shared" si="24"/>
        <v/>
      </c>
      <c r="J303" s="106" t="str">
        <f t="shared" si="29"/>
        <v xml:space="preserve"> </v>
      </c>
      <c r="K303" s="106" t="str">
        <f t="shared" si="25"/>
        <v xml:space="preserve"> </v>
      </c>
      <c r="L303" s="51" t="str">
        <f t="shared" si="26"/>
        <v xml:space="preserve"> </v>
      </c>
      <c r="M303" s="51"/>
      <c r="N303" s="51" t="str">
        <f t="shared" si="27"/>
        <v xml:space="preserve"> </v>
      </c>
    </row>
    <row r="304" spans="8:14" ht="15" x14ac:dyDescent="0.25">
      <c r="H304" s="50" t="str">
        <f t="shared" si="28"/>
        <v xml:space="preserve"> </v>
      </c>
      <c r="I304" s="51" t="str">
        <f t="shared" si="24"/>
        <v/>
      </c>
      <c r="J304" s="106" t="str">
        <f t="shared" si="29"/>
        <v xml:space="preserve"> </v>
      </c>
      <c r="K304" s="106" t="str">
        <f t="shared" si="25"/>
        <v xml:space="preserve"> </v>
      </c>
      <c r="L304" s="51" t="str">
        <f t="shared" si="26"/>
        <v xml:space="preserve"> </v>
      </c>
      <c r="M304" s="51"/>
      <c r="N304" s="51" t="str">
        <f t="shared" si="27"/>
        <v xml:space="preserve"> </v>
      </c>
    </row>
    <row r="305" spans="8:14" ht="15" x14ac:dyDescent="0.25">
      <c r="H305" s="50" t="str">
        <f t="shared" si="28"/>
        <v xml:space="preserve"> </v>
      </c>
      <c r="I305" s="51" t="str">
        <f t="shared" si="24"/>
        <v/>
      </c>
      <c r="J305" s="106" t="str">
        <f t="shared" si="29"/>
        <v xml:space="preserve"> </v>
      </c>
      <c r="K305" s="106" t="str">
        <f t="shared" si="25"/>
        <v xml:space="preserve"> </v>
      </c>
      <c r="L305" s="51" t="str">
        <f t="shared" si="26"/>
        <v xml:space="preserve"> </v>
      </c>
      <c r="M305" s="51"/>
      <c r="N305" s="51" t="str">
        <f t="shared" si="27"/>
        <v xml:space="preserve"> </v>
      </c>
    </row>
    <row r="306" spans="8:14" ht="15" x14ac:dyDescent="0.25">
      <c r="H306" s="50" t="str">
        <f t="shared" si="28"/>
        <v xml:space="preserve"> </v>
      </c>
      <c r="I306" s="51" t="str">
        <f t="shared" si="24"/>
        <v/>
      </c>
      <c r="J306" s="106" t="str">
        <f t="shared" si="29"/>
        <v xml:space="preserve"> </v>
      </c>
      <c r="K306" s="106" t="str">
        <f t="shared" si="25"/>
        <v xml:space="preserve"> </v>
      </c>
      <c r="L306" s="51" t="str">
        <f t="shared" si="26"/>
        <v xml:space="preserve"> </v>
      </c>
      <c r="M306" s="51"/>
      <c r="N306" s="51" t="str">
        <f t="shared" si="27"/>
        <v xml:space="preserve"> </v>
      </c>
    </row>
    <row r="307" spans="8:14" ht="15" x14ac:dyDescent="0.25">
      <c r="H307" s="50" t="str">
        <f t="shared" si="28"/>
        <v xml:space="preserve"> </v>
      </c>
      <c r="I307" s="51" t="str">
        <f t="shared" si="24"/>
        <v/>
      </c>
      <c r="J307" s="106" t="str">
        <f t="shared" si="29"/>
        <v xml:space="preserve"> </v>
      </c>
      <c r="K307" s="106" t="str">
        <f t="shared" si="25"/>
        <v xml:space="preserve"> </v>
      </c>
      <c r="L307" s="51" t="str">
        <f t="shared" si="26"/>
        <v xml:space="preserve"> </v>
      </c>
      <c r="M307" s="51"/>
      <c r="N307" s="51" t="str">
        <f t="shared" si="27"/>
        <v xml:space="preserve"> </v>
      </c>
    </row>
    <row r="308" spans="8:14" ht="15" x14ac:dyDescent="0.25">
      <c r="H308" s="50" t="str">
        <f t="shared" si="28"/>
        <v xml:space="preserve"> </v>
      </c>
      <c r="I308" s="51" t="str">
        <f t="shared" si="24"/>
        <v/>
      </c>
      <c r="J308" s="106" t="str">
        <f t="shared" si="29"/>
        <v xml:space="preserve"> </v>
      </c>
      <c r="K308" s="106" t="str">
        <f t="shared" si="25"/>
        <v xml:space="preserve"> </v>
      </c>
      <c r="L308" s="51" t="str">
        <f t="shared" si="26"/>
        <v xml:space="preserve"> </v>
      </c>
      <c r="M308" s="51"/>
      <c r="N308" s="51" t="str">
        <f t="shared" si="27"/>
        <v xml:space="preserve"> </v>
      </c>
    </row>
    <row r="309" spans="8:14" ht="15" x14ac:dyDescent="0.25">
      <c r="H309" s="50" t="str">
        <f t="shared" si="28"/>
        <v xml:space="preserve"> </v>
      </c>
      <c r="I309" s="51" t="str">
        <f t="shared" si="24"/>
        <v/>
      </c>
      <c r="J309" s="106" t="str">
        <f t="shared" si="29"/>
        <v xml:space="preserve"> </v>
      </c>
      <c r="K309" s="106" t="str">
        <f t="shared" si="25"/>
        <v xml:space="preserve"> </v>
      </c>
      <c r="L309" s="51" t="str">
        <f t="shared" si="26"/>
        <v xml:space="preserve"> </v>
      </c>
      <c r="M309" s="51"/>
      <c r="N309" s="51" t="str">
        <f t="shared" si="27"/>
        <v xml:space="preserve"> </v>
      </c>
    </row>
    <row r="310" spans="8:14" ht="15" x14ac:dyDescent="0.25">
      <c r="H310" s="50" t="str">
        <f t="shared" si="28"/>
        <v xml:space="preserve"> </v>
      </c>
      <c r="I310" s="51" t="str">
        <f t="shared" si="24"/>
        <v/>
      </c>
      <c r="J310" s="106" t="str">
        <f t="shared" si="29"/>
        <v xml:space="preserve"> </v>
      </c>
      <c r="K310" s="106" t="str">
        <f t="shared" si="25"/>
        <v xml:space="preserve"> </v>
      </c>
      <c r="L310" s="51" t="str">
        <f t="shared" si="26"/>
        <v xml:space="preserve"> </v>
      </c>
      <c r="M310" s="51"/>
      <c r="N310" s="51" t="str">
        <f t="shared" si="27"/>
        <v xml:space="preserve"> </v>
      </c>
    </row>
    <row r="311" spans="8:14" ht="15" x14ac:dyDescent="0.25">
      <c r="H311" s="50" t="str">
        <f t="shared" si="28"/>
        <v xml:space="preserve"> </v>
      </c>
      <c r="I311" s="51" t="str">
        <f t="shared" si="24"/>
        <v/>
      </c>
      <c r="J311" s="106" t="str">
        <f t="shared" si="29"/>
        <v xml:space="preserve"> </v>
      </c>
      <c r="K311" s="106" t="str">
        <f t="shared" si="25"/>
        <v xml:space="preserve"> </v>
      </c>
      <c r="L311" s="51" t="str">
        <f t="shared" si="26"/>
        <v xml:space="preserve"> </v>
      </c>
      <c r="M311" s="51"/>
      <c r="N311" s="51" t="str">
        <f t="shared" si="27"/>
        <v xml:space="preserve"> </v>
      </c>
    </row>
    <row r="312" spans="8:14" ht="15" x14ac:dyDescent="0.25">
      <c r="H312" s="50" t="str">
        <f t="shared" si="28"/>
        <v xml:space="preserve"> </v>
      </c>
      <c r="I312" s="51" t="str">
        <f t="shared" si="24"/>
        <v/>
      </c>
      <c r="J312" s="106" t="str">
        <f t="shared" si="29"/>
        <v xml:space="preserve"> </v>
      </c>
      <c r="K312" s="106" t="str">
        <f t="shared" si="25"/>
        <v xml:space="preserve"> </v>
      </c>
      <c r="L312" s="51" t="str">
        <f t="shared" si="26"/>
        <v xml:space="preserve"> </v>
      </c>
      <c r="M312" s="51"/>
      <c r="N312" s="51" t="str">
        <f t="shared" si="27"/>
        <v xml:space="preserve"> </v>
      </c>
    </row>
    <row r="313" spans="8:14" ht="15" x14ac:dyDescent="0.25">
      <c r="H313" s="50" t="str">
        <f t="shared" si="28"/>
        <v xml:space="preserve"> </v>
      </c>
      <c r="I313" s="51" t="str">
        <f t="shared" si="24"/>
        <v/>
      </c>
      <c r="J313" s="106" t="str">
        <f t="shared" si="29"/>
        <v xml:space="preserve"> </v>
      </c>
      <c r="K313" s="106" t="str">
        <f t="shared" si="25"/>
        <v xml:space="preserve"> </v>
      </c>
      <c r="L313" s="51" t="str">
        <f t="shared" si="26"/>
        <v xml:space="preserve"> </v>
      </c>
      <c r="M313" s="51"/>
      <c r="N313" s="51" t="str">
        <f t="shared" si="27"/>
        <v xml:space="preserve"> </v>
      </c>
    </row>
    <row r="314" spans="8:14" ht="15" x14ac:dyDescent="0.25">
      <c r="H314" s="50" t="str">
        <f t="shared" si="28"/>
        <v xml:space="preserve"> </v>
      </c>
      <c r="I314" s="51" t="str">
        <f t="shared" si="24"/>
        <v/>
      </c>
      <c r="J314" s="106" t="str">
        <f t="shared" si="29"/>
        <v xml:space="preserve"> </v>
      </c>
      <c r="K314" s="106" t="str">
        <f t="shared" si="25"/>
        <v xml:space="preserve"> </v>
      </c>
      <c r="L314" s="51" t="str">
        <f t="shared" si="26"/>
        <v xml:space="preserve"> </v>
      </c>
      <c r="M314" s="51"/>
      <c r="N314" s="51" t="str">
        <f t="shared" si="27"/>
        <v xml:space="preserve"> </v>
      </c>
    </row>
    <row r="315" spans="8:14" ht="15" x14ac:dyDescent="0.25">
      <c r="H315" s="50" t="str">
        <f t="shared" si="28"/>
        <v xml:space="preserve"> </v>
      </c>
      <c r="I315" s="51" t="str">
        <f t="shared" si="24"/>
        <v/>
      </c>
      <c r="J315" s="106" t="str">
        <f t="shared" si="29"/>
        <v xml:space="preserve"> </v>
      </c>
      <c r="K315" s="106" t="str">
        <f t="shared" si="25"/>
        <v xml:space="preserve"> </v>
      </c>
      <c r="L315" s="51" t="str">
        <f t="shared" si="26"/>
        <v xml:space="preserve"> </v>
      </c>
      <c r="M315" s="51"/>
      <c r="N315" s="51" t="str">
        <f t="shared" si="27"/>
        <v xml:space="preserve"> </v>
      </c>
    </row>
    <row r="316" spans="8:14" ht="15" x14ac:dyDescent="0.25">
      <c r="H316" s="50"/>
      <c r="I316" s="51"/>
      <c r="J316" s="51"/>
      <c r="K316" s="51"/>
      <c r="L316" s="51"/>
      <c r="M316" s="51"/>
      <c r="N316" s="51"/>
    </row>
    <row r="317" spans="8:14" ht="15" x14ac:dyDescent="0.25">
      <c r="H317" s="50"/>
      <c r="I317" s="51"/>
      <c r="J317" s="51"/>
      <c r="K317" s="51"/>
      <c r="L317" s="51"/>
      <c r="M317" s="51"/>
      <c r="N317" s="51"/>
    </row>
    <row r="318" spans="8:14" ht="15" x14ac:dyDescent="0.25">
      <c r="H318" s="50"/>
      <c r="I318" s="51"/>
      <c r="J318" s="51"/>
      <c r="K318" s="51"/>
      <c r="L318" s="51"/>
      <c r="M318" s="51"/>
      <c r="N318" s="51"/>
    </row>
    <row r="319" spans="8:14" ht="15" x14ac:dyDescent="0.25">
      <c r="H319" s="50"/>
      <c r="I319" s="51"/>
      <c r="J319" s="51"/>
      <c r="K319" s="51"/>
      <c r="L319" s="51"/>
      <c r="M319" s="51"/>
      <c r="N319" s="51"/>
    </row>
    <row r="320" spans="8:14" ht="15" x14ac:dyDescent="0.25">
      <c r="H320" s="50"/>
      <c r="I320" s="51"/>
      <c r="J320" s="51"/>
      <c r="K320" s="51"/>
      <c r="L320" s="51"/>
      <c r="M320" s="51"/>
      <c r="N320" s="51"/>
    </row>
    <row r="321" spans="8:14" ht="15" x14ac:dyDescent="0.25">
      <c r="H321" s="50"/>
      <c r="I321" s="51"/>
      <c r="J321" s="51"/>
      <c r="K321" s="51"/>
      <c r="L321" s="51"/>
      <c r="M321" s="51"/>
      <c r="N321" s="51"/>
    </row>
    <row r="322" spans="8:14" ht="15" x14ac:dyDescent="0.25">
      <c r="H322" s="50"/>
      <c r="I322" s="51"/>
      <c r="J322" s="51"/>
      <c r="K322" s="51"/>
      <c r="L322" s="51"/>
      <c r="M322" s="51"/>
      <c r="N322" s="51"/>
    </row>
    <row r="323" spans="8:14" ht="15" x14ac:dyDescent="0.25">
      <c r="H323" s="50"/>
      <c r="I323" s="51"/>
      <c r="J323" s="51"/>
      <c r="K323" s="51"/>
      <c r="L323" s="51"/>
      <c r="M323" s="51"/>
      <c r="N323" s="51"/>
    </row>
    <row r="324" spans="8:14" ht="15" x14ac:dyDescent="0.25">
      <c r="H324" s="50"/>
      <c r="I324" s="51"/>
      <c r="J324" s="51"/>
      <c r="K324" s="51"/>
      <c r="L324" s="51"/>
      <c r="M324" s="51"/>
      <c r="N324" s="51"/>
    </row>
    <row r="325" spans="8:14" ht="15" x14ac:dyDescent="0.25">
      <c r="H325" s="50"/>
      <c r="I325" s="51"/>
      <c r="J325" s="51"/>
      <c r="K325" s="51"/>
      <c r="L325" s="51"/>
      <c r="M325" s="51"/>
      <c r="N325" s="51"/>
    </row>
    <row r="326" spans="8:14" ht="15" x14ac:dyDescent="0.25">
      <c r="H326" s="50"/>
      <c r="I326" s="51"/>
      <c r="J326" s="51"/>
      <c r="K326" s="51"/>
      <c r="L326" s="51"/>
      <c r="M326" s="51"/>
      <c r="N326" s="51"/>
    </row>
    <row r="327" spans="8:14" ht="15" x14ac:dyDescent="0.25">
      <c r="H327" s="50"/>
      <c r="I327" s="51"/>
      <c r="J327" s="51"/>
      <c r="K327" s="51"/>
      <c r="L327" s="51"/>
      <c r="M327" s="51"/>
      <c r="N327" s="51"/>
    </row>
    <row r="328" spans="8:14" ht="15" x14ac:dyDescent="0.25">
      <c r="H328" s="50"/>
      <c r="I328" s="51"/>
      <c r="J328" s="51"/>
      <c r="K328" s="51"/>
      <c r="L328" s="51"/>
      <c r="M328" s="51"/>
      <c r="N328" s="51"/>
    </row>
    <row r="329" spans="8:14" ht="15" x14ac:dyDescent="0.25">
      <c r="H329" s="50"/>
      <c r="I329" s="51"/>
      <c r="J329" s="51"/>
      <c r="K329" s="51"/>
      <c r="L329" s="51"/>
      <c r="M329" s="51"/>
      <c r="N329" s="51"/>
    </row>
    <row r="330" spans="8:14" ht="15" x14ac:dyDescent="0.25">
      <c r="H330" s="50"/>
      <c r="I330" s="51"/>
      <c r="J330" s="51"/>
      <c r="K330" s="51"/>
      <c r="L330" s="51"/>
      <c r="M330" s="51"/>
      <c r="N330" s="51"/>
    </row>
    <row r="331" spans="8:14" ht="15" x14ac:dyDescent="0.25">
      <c r="H331" s="50"/>
      <c r="I331" s="51"/>
      <c r="J331" s="51"/>
      <c r="K331" s="51"/>
      <c r="L331" s="51"/>
      <c r="M331" s="51"/>
      <c r="N331" s="51"/>
    </row>
    <row r="332" spans="8:14" ht="15" x14ac:dyDescent="0.25">
      <c r="H332" s="50"/>
      <c r="I332" s="51"/>
      <c r="J332" s="51"/>
      <c r="K332" s="51"/>
      <c r="L332" s="51"/>
      <c r="M332" s="51"/>
      <c r="N332" s="51"/>
    </row>
    <row r="333" spans="8:14" ht="15" x14ac:dyDescent="0.25">
      <c r="H333" s="50"/>
      <c r="I333" s="51"/>
      <c r="J333" s="51"/>
      <c r="K333" s="51"/>
      <c r="L333" s="51"/>
      <c r="M333" s="51"/>
      <c r="N333" s="51"/>
    </row>
    <row r="334" spans="8:14" ht="15" x14ac:dyDescent="0.25">
      <c r="H334" s="50"/>
      <c r="I334" s="51"/>
      <c r="J334" s="51"/>
      <c r="K334" s="51"/>
      <c r="L334" s="51"/>
      <c r="M334" s="51"/>
      <c r="N334" s="51"/>
    </row>
    <row r="335" spans="8:14" ht="15" x14ac:dyDescent="0.25">
      <c r="H335" s="50"/>
      <c r="I335" s="51"/>
      <c r="J335" s="51"/>
      <c r="K335" s="51"/>
      <c r="L335" s="51"/>
      <c r="M335" s="51"/>
      <c r="N335" s="51"/>
    </row>
    <row r="336" spans="8:14" ht="15" x14ac:dyDescent="0.25">
      <c r="H336" s="50"/>
      <c r="I336" s="51"/>
      <c r="J336" s="51"/>
      <c r="K336" s="51"/>
      <c r="L336" s="51"/>
      <c r="M336" s="51"/>
      <c r="N336" s="51"/>
    </row>
    <row r="337" spans="8:14" ht="15" x14ac:dyDescent="0.25">
      <c r="H337" s="50"/>
      <c r="I337" s="51"/>
      <c r="J337" s="51"/>
      <c r="K337" s="51"/>
      <c r="L337" s="51"/>
      <c r="M337" s="51"/>
      <c r="N337" s="51"/>
    </row>
    <row r="338" spans="8:14" ht="15" x14ac:dyDescent="0.25">
      <c r="H338" s="50"/>
      <c r="I338" s="51"/>
      <c r="J338" s="51"/>
      <c r="K338" s="51"/>
      <c r="L338" s="51"/>
      <c r="M338" s="51"/>
      <c r="N338" s="51"/>
    </row>
    <row r="339" spans="8:14" ht="15" x14ac:dyDescent="0.25">
      <c r="H339" s="50"/>
      <c r="I339" s="51"/>
      <c r="J339" s="51"/>
      <c r="K339" s="51"/>
      <c r="L339" s="51"/>
      <c r="M339" s="51"/>
      <c r="N339" s="51"/>
    </row>
    <row r="340" spans="8:14" ht="15" x14ac:dyDescent="0.25">
      <c r="H340" s="50"/>
      <c r="I340" s="51"/>
      <c r="J340" s="51"/>
      <c r="K340" s="51"/>
      <c r="L340" s="51"/>
      <c r="M340" s="51"/>
      <c r="N340" s="51"/>
    </row>
    <row r="341" spans="8:14" ht="15" x14ac:dyDescent="0.25">
      <c r="H341" s="50"/>
      <c r="I341" s="51"/>
      <c r="J341" s="51"/>
      <c r="K341" s="51"/>
      <c r="L341" s="51"/>
      <c r="M341" s="51"/>
      <c r="N341" s="51"/>
    </row>
    <row r="342" spans="8:14" ht="15" x14ac:dyDescent="0.25">
      <c r="H342" s="50"/>
      <c r="I342" s="51"/>
      <c r="J342" s="51"/>
      <c r="K342" s="51"/>
      <c r="L342" s="51"/>
      <c r="M342" s="51"/>
      <c r="N342" s="51"/>
    </row>
    <row r="343" spans="8:14" ht="15" x14ac:dyDescent="0.25">
      <c r="H343" s="50"/>
      <c r="I343" s="51"/>
      <c r="J343" s="51"/>
      <c r="K343" s="51"/>
      <c r="L343" s="51"/>
      <c r="M343" s="51"/>
      <c r="N343" s="51"/>
    </row>
    <row r="344" spans="8:14" ht="15" x14ac:dyDescent="0.25">
      <c r="H344" s="50"/>
      <c r="I344" s="51"/>
      <c r="J344" s="51"/>
      <c r="K344" s="51"/>
      <c r="L344" s="51"/>
      <c r="M344" s="51"/>
      <c r="N344" s="51"/>
    </row>
    <row r="345" spans="8:14" ht="15" x14ac:dyDescent="0.25">
      <c r="H345" s="50"/>
      <c r="I345" s="51"/>
      <c r="J345" s="51"/>
      <c r="K345" s="51"/>
      <c r="L345" s="51"/>
      <c r="M345" s="51"/>
      <c r="N345" s="51"/>
    </row>
    <row r="346" spans="8:14" ht="15" x14ac:dyDescent="0.25">
      <c r="H346" s="50"/>
      <c r="I346" s="51"/>
      <c r="J346" s="51"/>
      <c r="K346" s="51"/>
      <c r="L346" s="51"/>
      <c r="M346" s="51"/>
      <c r="N346" s="51"/>
    </row>
    <row r="347" spans="8:14" ht="15" x14ac:dyDescent="0.25">
      <c r="H347" s="50"/>
      <c r="I347" s="51"/>
      <c r="J347" s="51"/>
      <c r="K347" s="51"/>
      <c r="L347" s="51"/>
      <c r="M347" s="51"/>
      <c r="N347" s="51"/>
    </row>
    <row r="348" spans="8:14" ht="15" x14ac:dyDescent="0.25">
      <c r="H348" s="50"/>
      <c r="I348" s="51"/>
      <c r="J348" s="51"/>
      <c r="K348" s="51"/>
      <c r="L348" s="51"/>
      <c r="M348" s="51"/>
      <c r="N348" s="51"/>
    </row>
    <row r="349" spans="8:14" ht="15" x14ac:dyDescent="0.25">
      <c r="H349" s="50"/>
      <c r="I349" s="51"/>
      <c r="J349" s="51"/>
      <c r="K349" s="51"/>
      <c r="L349" s="51"/>
      <c r="M349" s="51"/>
      <c r="N349" s="51"/>
    </row>
    <row r="350" spans="8:14" ht="15" x14ac:dyDescent="0.25">
      <c r="H350" s="50"/>
      <c r="I350" s="51"/>
      <c r="J350" s="51"/>
      <c r="K350" s="51"/>
      <c r="L350" s="51"/>
      <c r="M350" s="51"/>
      <c r="N350" s="51"/>
    </row>
    <row r="351" spans="8:14" ht="15" x14ac:dyDescent="0.25">
      <c r="H351" s="50"/>
      <c r="I351" s="51"/>
      <c r="J351" s="51"/>
      <c r="K351" s="51"/>
      <c r="L351" s="51"/>
      <c r="M351" s="51"/>
      <c r="N351" s="51"/>
    </row>
    <row r="352" spans="8:14" ht="15" x14ac:dyDescent="0.25">
      <c r="H352" s="50"/>
      <c r="I352" s="51"/>
      <c r="J352" s="51"/>
      <c r="K352" s="51"/>
      <c r="L352" s="51"/>
      <c r="M352" s="51"/>
      <c r="N352" s="51"/>
    </row>
    <row r="353" spans="8:14" ht="15" x14ac:dyDescent="0.25">
      <c r="H353" s="50"/>
      <c r="I353" s="51"/>
      <c r="J353" s="51"/>
      <c r="K353" s="51"/>
      <c r="L353" s="51"/>
      <c r="M353" s="51"/>
      <c r="N353" s="51"/>
    </row>
    <row r="354" spans="8:14" ht="15" x14ac:dyDescent="0.25">
      <c r="H354" s="50"/>
      <c r="I354" s="51"/>
      <c r="J354" s="51"/>
      <c r="K354" s="51"/>
      <c r="L354" s="51"/>
      <c r="M354" s="51"/>
      <c r="N354" s="51"/>
    </row>
    <row r="355" spans="8:14" ht="15" x14ac:dyDescent="0.25">
      <c r="H355" s="50"/>
      <c r="I355" s="51"/>
      <c r="J355" s="51"/>
      <c r="K355" s="51"/>
      <c r="L355" s="51"/>
      <c r="M355" s="51"/>
      <c r="N355" s="51"/>
    </row>
    <row r="356" spans="8:14" ht="15" x14ac:dyDescent="0.25">
      <c r="H356" s="50"/>
      <c r="I356" s="51"/>
      <c r="J356" s="51"/>
      <c r="K356" s="51"/>
      <c r="L356" s="51"/>
      <c r="M356" s="51"/>
      <c r="N356" s="51"/>
    </row>
    <row r="357" spans="8:14" ht="15" x14ac:dyDescent="0.25">
      <c r="H357" s="50"/>
      <c r="I357" s="51"/>
      <c r="J357" s="51"/>
      <c r="K357" s="51"/>
      <c r="L357" s="51"/>
      <c r="M357" s="51"/>
      <c r="N357" s="51"/>
    </row>
    <row r="358" spans="8:14" ht="15" x14ac:dyDescent="0.25">
      <c r="H358" s="50"/>
      <c r="I358" s="51"/>
      <c r="J358" s="51"/>
      <c r="K358" s="51"/>
      <c r="L358" s="51"/>
      <c r="M358" s="51"/>
      <c r="N358" s="51"/>
    </row>
    <row r="359" spans="8:14" ht="15" x14ac:dyDescent="0.25">
      <c r="H359" s="50"/>
      <c r="I359" s="51"/>
      <c r="J359" s="51"/>
      <c r="K359" s="51"/>
      <c r="L359" s="51"/>
      <c r="M359" s="51"/>
      <c r="N359" s="51"/>
    </row>
    <row r="360" spans="8:14" ht="15" x14ac:dyDescent="0.25">
      <c r="H360" s="50"/>
      <c r="I360" s="51"/>
      <c r="J360" s="51"/>
      <c r="K360" s="51"/>
      <c r="L360" s="51"/>
      <c r="M360" s="51"/>
      <c r="N360" s="51"/>
    </row>
    <row r="361" spans="8:14" ht="15" x14ac:dyDescent="0.25">
      <c r="H361" s="50"/>
      <c r="I361" s="51"/>
      <c r="J361" s="51"/>
      <c r="K361" s="51"/>
      <c r="L361" s="51"/>
      <c r="M361" s="51"/>
      <c r="N361" s="51"/>
    </row>
    <row r="362" spans="8:14" ht="15" x14ac:dyDescent="0.25">
      <c r="H362" s="50"/>
      <c r="I362" s="51"/>
      <c r="J362" s="51"/>
      <c r="K362" s="51"/>
      <c r="L362" s="51"/>
      <c r="M362" s="51"/>
      <c r="N362" s="51"/>
    </row>
    <row r="363" spans="8:14" ht="15" x14ac:dyDescent="0.25">
      <c r="H363" s="50"/>
      <c r="I363" s="51"/>
      <c r="J363" s="51"/>
      <c r="K363" s="51"/>
      <c r="L363" s="51"/>
      <c r="M363" s="51"/>
      <c r="N363" s="51"/>
    </row>
    <row r="364" spans="8:14" ht="15" x14ac:dyDescent="0.25">
      <c r="H364" s="50"/>
      <c r="I364" s="51"/>
      <c r="J364" s="51"/>
      <c r="K364" s="51"/>
      <c r="L364" s="51"/>
      <c r="M364" s="51"/>
      <c r="N364" s="51"/>
    </row>
    <row r="365" spans="8:14" ht="15" x14ac:dyDescent="0.25">
      <c r="H365" s="50"/>
      <c r="I365" s="51"/>
      <c r="J365" s="51"/>
      <c r="K365" s="51"/>
      <c r="L365" s="51"/>
      <c r="M365" s="51"/>
      <c r="N365" s="51"/>
    </row>
    <row r="366" spans="8:14" ht="15" x14ac:dyDescent="0.25">
      <c r="H366" s="50"/>
      <c r="I366" s="51"/>
      <c r="J366" s="51"/>
      <c r="K366" s="51"/>
      <c r="L366" s="51"/>
      <c r="M366" s="51"/>
      <c r="N366" s="51"/>
    </row>
    <row r="367" spans="8:14" ht="15" x14ac:dyDescent="0.25">
      <c r="H367" s="50"/>
      <c r="I367" s="51"/>
      <c r="J367" s="51"/>
      <c r="K367" s="51"/>
      <c r="L367" s="51"/>
      <c r="M367" s="51"/>
      <c r="N367" s="51"/>
    </row>
    <row r="368" spans="8:14" ht="15" x14ac:dyDescent="0.25">
      <c r="H368" s="50"/>
      <c r="I368" s="51"/>
      <c r="J368" s="51"/>
      <c r="K368" s="51"/>
      <c r="L368" s="51"/>
      <c r="M368" s="51"/>
      <c r="N368" s="51"/>
    </row>
    <row r="369" spans="8:14" ht="15" x14ac:dyDescent="0.25">
      <c r="H369" s="50"/>
      <c r="I369" s="51"/>
      <c r="J369" s="51"/>
      <c r="K369" s="51"/>
      <c r="L369" s="51"/>
      <c r="M369" s="51"/>
      <c r="N369" s="51"/>
    </row>
    <row r="370" spans="8:14" ht="15" x14ac:dyDescent="0.25">
      <c r="H370" s="50"/>
      <c r="I370" s="51"/>
      <c r="J370" s="51"/>
      <c r="K370" s="51"/>
      <c r="L370" s="51"/>
      <c r="M370" s="51"/>
      <c r="N370" s="51"/>
    </row>
    <row r="371" spans="8:14" ht="15" x14ac:dyDescent="0.25">
      <c r="H371" s="50"/>
      <c r="I371" s="51"/>
      <c r="J371" s="51"/>
      <c r="K371" s="51"/>
      <c r="L371" s="51"/>
      <c r="M371" s="51"/>
      <c r="N371" s="51"/>
    </row>
    <row r="372" spans="8:14" ht="15" x14ac:dyDescent="0.25">
      <c r="H372" s="50"/>
      <c r="I372" s="51"/>
      <c r="J372" s="51"/>
      <c r="K372" s="51"/>
      <c r="L372" s="51"/>
      <c r="M372" s="51"/>
      <c r="N372" s="51"/>
    </row>
    <row r="373" spans="8:14" ht="15" x14ac:dyDescent="0.25">
      <c r="H373" s="50"/>
      <c r="I373" s="51"/>
      <c r="J373" s="51"/>
      <c r="K373" s="51"/>
      <c r="L373" s="51"/>
      <c r="M373" s="51"/>
      <c r="N373" s="51"/>
    </row>
    <row r="374" spans="8:14" ht="15" x14ac:dyDescent="0.25">
      <c r="H374" s="50"/>
      <c r="I374" s="51"/>
      <c r="J374" s="51"/>
      <c r="K374" s="51"/>
      <c r="L374" s="51"/>
      <c r="M374" s="51"/>
      <c r="N374" s="51"/>
    </row>
    <row r="375" spans="8:14" ht="15" x14ac:dyDescent="0.25">
      <c r="H375" s="50"/>
      <c r="I375" s="51"/>
      <c r="J375" s="51"/>
      <c r="K375" s="51"/>
      <c r="L375" s="51"/>
      <c r="M375" s="51"/>
      <c r="N375" s="51"/>
    </row>
    <row r="376" spans="8:14" ht="15" x14ac:dyDescent="0.25">
      <c r="H376" s="50"/>
      <c r="I376" s="51"/>
      <c r="J376" s="51"/>
      <c r="K376" s="51"/>
      <c r="L376" s="51"/>
      <c r="M376" s="51"/>
      <c r="N376" s="51"/>
    </row>
    <row r="377" spans="8:14" ht="15" x14ac:dyDescent="0.25">
      <c r="H377" s="50"/>
      <c r="I377" s="51"/>
      <c r="J377" s="51"/>
      <c r="K377" s="51"/>
      <c r="L377" s="51"/>
      <c r="M377" s="51"/>
      <c r="N377" s="51"/>
    </row>
    <row r="378" spans="8:14" ht="15" x14ac:dyDescent="0.25">
      <c r="H378" s="50"/>
      <c r="I378" s="51"/>
      <c r="J378" s="51"/>
      <c r="K378" s="51"/>
      <c r="L378" s="51"/>
      <c r="M378" s="51"/>
      <c r="N378" s="51"/>
    </row>
    <row r="379" spans="8:14" ht="15" x14ac:dyDescent="0.25">
      <c r="H379" s="50"/>
      <c r="I379" s="51"/>
      <c r="J379" s="51"/>
      <c r="K379" s="51"/>
      <c r="L379" s="51"/>
      <c r="M379" s="51"/>
      <c r="N379" s="51"/>
    </row>
    <row r="380" spans="8:14" ht="15" x14ac:dyDescent="0.25">
      <c r="H380" s="50"/>
      <c r="I380" s="51"/>
      <c r="J380" s="51"/>
      <c r="K380" s="51"/>
      <c r="L380" s="51"/>
      <c r="M380" s="51"/>
      <c r="N380" s="51"/>
    </row>
    <row r="381" spans="8:14" ht="15" x14ac:dyDescent="0.25">
      <c r="H381" s="50"/>
      <c r="I381" s="51"/>
      <c r="J381" s="51"/>
      <c r="K381" s="51"/>
      <c r="L381" s="51"/>
      <c r="M381" s="51"/>
      <c r="N381" s="51"/>
    </row>
    <row r="382" spans="8:14" ht="15" x14ac:dyDescent="0.25">
      <c r="H382" s="50"/>
      <c r="I382" s="51"/>
      <c r="J382" s="51"/>
      <c r="K382" s="51"/>
      <c r="L382" s="51"/>
      <c r="M382" s="51"/>
      <c r="N382" s="51"/>
    </row>
    <row r="383" spans="8:14" ht="15" x14ac:dyDescent="0.25">
      <c r="H383" s="50"/>
      <c r="I383" s="51"/>
      <c r="J383" s="51"/>
      <c r="K383" s="51"/>
      <c r="L383" s="51"/>
      <c r="M383" s="51"/>
      <c r="N383" s="51"/>
    </row>
    <row r="384" spans="8:14" ht="15" x14ac:dyDescent="0.25">
      <c r="H384" s="50"/>
      <c r="I384" s="51"/>
      <c r="J384" s="51"/>
      <c r="K384" s="51"/>
      <c r="L384" s="51"/>
      <c r="M384" s="51"/>
      <c r="N384" s="51"/>
    </row>
    <row r="385" spans="8:14" ht="15" x14ac:dyDescent="0.25">
      <c r="H385" s="50"/>
      <c r="I385" s="51"/>
      <c r="J385" s="51"/>
      <c r="K385" s="51"/>
      <c r="L385" s="51"/>
      <c r="M385" s="51"/>
      <c r="N385" s="51"/>
    </row>
    <row r="386" spans="8:14" ht="15" x14ac:dyDescent="0.25">
      <c r="H386" s="50"/>
      <c r="I386" s="51"/>
      <c r="J386" s="51"/>
      <c r="K386" s="51"/>
      <c r="L386" s="51"/>
      <c r="M386" s="51"/>
      <c r="N386" s="51"/>
    </row>
    <row r="387" spans="8:14" ht="15" x14ac:dyDescent="0.25">
      <c r="H387" s="50"/>
      <c r="I387" s="51"/>
      <c r="J387" s="51"/>
      <c r="K387" s="51"/>
      <c r="L387" s="51"/>
      <c r="M387" s="51"/>
      <c r="N387" s="51"/>
    </row>
    <row r="388" spans="8:14" ht="15" x14ac:dyDescent="0.25">
      <c r="H388" s="50"/>
      <c r="I388" s="51"/>
      <c r="J388" s="51"/>
      <c r="K388" s="51"/>
      <c r="L388" s="51"/>
      <c r="M388" s="51"/>
      <c r="N388" s="51"/>
    </row>
    <row r="389" spans="8:14" ht="15" x14ac:dyDescent="0.25">
      <c r="H389" s="50"/>
      <c r="I389" s="51"/>
      <c r="J389" s="51"/>
      <c r="K389" s="51"/>
      <c r="L389" s="51"/>
      <c r="M389" s="51"/>
      <c r="N389" s="51"/>
    </row>
    <row r="390" spans="8:14" ht="15" x14ac:dyDescent="0.25">
      <c r="H390" s="50"/>
      <c r="I390" s="51"/>
      <c r="J390" s="51"/>
      <c r="K390" s="51"/>
      <c r="L390" s="51"/>
      <c r="M390" s="51"/>
      <c r="N390" s="51"/>
    </row>
    <row r="391" spans="8:14" ht="15" x14ac:dyDescent="0.25">
      <c r="H391" s="50"/>
      <c r="I391" s="51"/>
      <c r="J391" s="51"/>
      <c r="K391" s="51"/>
      <c r="L391" s="51"/>
      <c r="M391" s="51"/>
      <c r="N391" s="51"/>
    </row>
    <row r="392" spans="8:14" ht="15" x14ac:dyDescent="0.25">
      <c r="H392" s="50"/>
      <c r="I392" s="51"/>
      <c r="J392" s="51"/>
      <c r="K392" s="51"/>
      <c r="L392" s="51"/>
      <c r="M392" s="51"/>
      <c r="N392" s="51"/>
    </row>
    <row r="393" spans="8:14" ht="15" x14ac:dyDescent="0.25">
      <c r="H393" s="50"/>
      <c r="I393" s="51"/>
      <c r="J393" s="51"/>
      <c r="K393" s="51"/>
      <c r="L393" s="51"/>
      <c r="M393" s="51"/>
      <c r="N393" s="51"/>
    </row>
    <row r="394" spans="8:14" ht="15" x14ac:dyDescent="0.25">
      <c r="H394" s="50"/>
      <c r="I394" s="51"/>
      <c r="J394" s="51"/>
      <c r="K394" s="51"/>
      <c r="L394" s="51"/>
      <c r="M394" s="51"/>
      <c r="N394" s="51"/>
    </row>
    <row r="395" spans="8:14" ht="15" x14ac:dyDescent="0.25">
      <c r="H395" s="50"/>
      <c r="I395" s="51"/>
      <c r="J395" s="51"/>
      <c r="K395" s="51"/>
      <c r="L395" s="51"/>
      <c r="M395" s="51"/>
      <c r="N395" s="51"/>
    </row>
    <row r="396" spans="8:14" ht="15" x14ac:dyDescent="0.25">
      <c r="H396" s="50"/>
      <c r="I396" s="51"/>
      <c r="J396" s="51"/>
      <c r="K396" s="51"/>
      <c r="L396" s="51"/>
      <c r="M396" s="51"/>
      <c r="N396" s="51"/>
    </row>
    <row r="397" spans="8:14" ht="15" x14ac:dyDescent="0.25">
      <c r="H397" s="50"/>
      <c r="I397" s="51"/>
      <c r="J397" s="51"/>
      <c r="K397" s="51"/>
      <c r="L397" s="51"/>
      <c r="M397" s="51"/>
      <c r="N397" s="51"/>
    </row>
    <row r="398" spans="8:14" ht="15" x14ac:dyDescent="0.25">
      <c r="H398" s="50"/>
      <c r="I398" s="51"/>
      <c r="J398" s="51"/>
      <c r="K398" s="51"/>
      <c r="L398" s="51"/>
      <c r="M398" s="51"/>
      <c r="N398" s="51"/>
    </row>
    <row r="399" spans="8:14" ht="15" x14ac:dyDescent="0.25">
      <c r="H399" s="50"/>
      <c r="I399" s="51"/>
      <c r="J399" s="51"/>
      <c r="K399" s="51"/>
      <c r="L399" s="51"/>
      <c r="M399" s="51"/>
      <c r="N399" s="51"/>
    </row>
    <row r="400" spans="8:14" ht="15" x14ac:dyDescent="0.25">
      <c r="H400" s="50"/>
      <c r="I400" s="51"/>
      <c r="J400" s="51"/>
      <c r="K400" s="51"/>
      <c r="L400" s="51"/>
      <c r="M400" s="51"/>
      <c r="N400" s="51"/>
    </row>
    <row r="401" spans="8:14" ht="15" x14ac:dyDescent="0.25">
      <c r="H401" s="50"/>
      <c r="I401" s="51"/>
      <c r="J401" s="51"/>
      <c r="K401" s="51"/>
      <c r="L401" s="51"/>
      <c r="M401" s="51"/>
      <c r="N401" s="51"/>
    </row>
    <row r="402" spans="8:14" ht="15" x14ac:dyDescent="0.25">
      <c r="H402" s="50"/>
      <c r="I402" s="51"/>
      <c r="J402" s="51"/>
      <c r="K402" s="51"/>
      <c r="L402" s="51"/>
      <c r="M402" s="51"/>
      <c r="N402" s="51"/>
    </row>
    <row r="403" spans="8:14" ht="15" x14ac:dyDescent="0.25">
      <c r="H403" s="50"/>
      <c r="I403" s="51"/>
      <c r="J403" s="51"/>
      <c r="K403" s="51"/>
      <c r="L403" s="51"/>
      <c r="M403" s="51"/>
      <c r="N403" s="51"/>
    </row>
    <row r="404" spans="8:14" ht="15" x14ac:dyDescent="0.25">
      <c r="H404" s="50"/>
      <c r="I404" s="51"/>
      <c r="J404" s="51"/>
      <c r="K404" s="51"/>
      <c r="L404" s="51"/>
      <c r="M404" s="51"/>
      <c r="N404" s="51"/>
    </row>
    <row r="405" spans="8:14" ht="15" x14ac:dyDescent="0.25">
      <c r="H405" s="50"/>
      <c r="I405" s="51"/>
      <c r="J405" s="51"/>
      <c r="K405" s="51"/>
      <c r="L405" s="51"/>
      <c r="M405" s="51"/>
      <c r="N405" s="51"/>
    </row>
    <row r="406" spans="8:14" ht="15" x14ac:dyDescent="0.25">
      <c r="H406" s="50"/>
      <c r="I406" s="51"/>
      <c r="J406" s="51"/>
      <c r="K406" s="51"/>
      <c r="L406" s="51"/>
      <c r="M406" s="51"/>
      <c r="N406" s="51"/>
    </row>
    <row r="407" spans="8:14" ht="15" x14ac:dyDescent="0.25">
      <c r="H407" s="50"/>
      <c r="I407" s="51"/>
      <c r="J407" s="51"/>
      <c r="K407" s="51"/>
      <c r="L407" s="51"/>
      <c r="M407" s="51"/>
      <c r="N407" s="51"/>
    </row>
    <row r="408" spans="8:14" ht="15" x14ac:dyDescent="0.25">
      <c r="H408" s="50"/>
      <c r="I408" s="51"/>
      <c r="J408" s="51"/>
      <c r="K408" s="51"/>
      <c r="L408" s="51"/>
      <c r="M408" s="51"/>
      <c r="N408" s="51"/>
    </row>
    <row r="409" spans="8:14" ht="15" x14ac:dyDescent="0.25">
      <c r="H409" s="50"/>
      <c r="I409" s="51"/>
      <c r="J409" s="51"/>
      <c r="K409" s="51"/>
      <c r="L409" s="51"/>
      <c r="M409" s="51"/>
      <c r="N409" s="51"/>
    </row>
    <row r="410" spans="8:14" ht="15" x14ac:dyDescent="0.25">
      <c r="H410" s="50"/>
      <c r="I410" s="51"/>
      <c r="J410" s="51"/>
      <c r="K410" s="51"/>
      <c r="L410" s="51"/>
      <c r="M410" s="51"/>
      <c r="N410" s="51"/>
    </row>
    <row r="411" spans="8:14" ht="15" x14ac:dyDescent="0.25">
      <c r="H411" s="50"/>
      <c r="I411" s="51"/>
      <c r="J411" s="51"/>
      <c r="K411" s="51"/>
      <c r="L411" s="51"/>
      <c r="M411" s="51"/>
      <c r="N411" s="51"/>
    </row>
    <row r="412" spans="8:14" ht="15" x14ac:dyDescent="0.25">
      <c r="H412" s="50"/>
      <c r="I412" s="51"/>
      <c r="J412" s="51"/>
      <c r="K412" s="51"/>
      <c r="L412" s="51"/>
      <c r="M412" s="51"/>
      <c r="N412" s="51"/>
    </row>
    <row r="413" spans="8:14" ht="15" x14ac:dyDescent="0.25">
      <c r="H413" s="50"/>
      <c r="I413" s="51"/>
      <c r="J413" s="51"/>
      <c r="K413" s="51"/>
      <c r="L413" s="51"/>
      <c r="M413" s="51"/>
      <c r="N413" s="51"/>
    </row>
    <row r="414" spans="8:14" ht="15" x14ac:dyDescent="0.25">
      <c r="H414" s="50"/>
      <c r="I414" s="51"/>
      <c r="J414" s="51"/>
      <c r="K414" s="51"/>
      <c r="L414" s="51"/>
      <c r="M414" s="51"/>
      <c r="N414" s="51"/>
    </row>
    <row r="415" spans="8:14" ht="15" x14ac:dyDescent="0.25">
      <c r="H415" s="50"/>
      <c r="I415" s="51"/>
      <c r="J415" s="51"/>
      <c r="K415" s="51"/>
      <c r="L415" s="51"/>
      <c r="M415" s="51"/>
      <c r="N415" s="51"/>
    </row>
    <row r="416" spans="8:14" ht="15" x14ac:dyDescent="0.25">
      <c r="H416" s="50"/>
      <c r="I416" s="51"/>
      <c r="J416" s="51"/>
      <c r="K416" s="51"/>
      <c r="L416" s="51"/>
      <c r="M416" s="51"/>
      <c r="N416" s="51"/>
    </row>
    <row r="417" spans="8:14" ht="15" x14ac:dyDescent="0.25">
      <c r="H417" s="50"/>
      <c r="I417" s="51"/>
      <c r="J417" s="51"/>
      <c r="K417" s="51"/>
      <c r="L417" s="51"/>
      <c r="M417" s="51"/>
      <c r="N417" s="51"/>
    </row>
    <row r="418" spans="8:14" ht="15" x14ac:dyDescent="0.25">
      <c r="H418" s="50"/>
      <c r="I418" s="51"/>
      <c r="J418" s="51"/>
      <c r="K418" s="51"/>
      <c r="L418" s="51"/>
      <c r="M418" s="51"/>
      <c r="N418" s="51"/>
    </row>
    <row r="419" spans="8:14" ht="15" x14ac:dyDescent="0.25">
      <c r="H419" s="50"/>
      <c r="I419" s="51"/>
      <c r="J419" s="51"/>
      <c r="K419" s="51"/>
      <c r="L419" s="51"/>
      <c r="M419" s="51"/>
      <c r="N419" s="51"/>
    </row>
    <row r="420" spans="8:14" ht="15" x14ac:dyDescent="0.25">
      <c r="H420" s="50"/>
      <c r="I420" s="51"/>
      <c r="J420" s="51"/>
      <c r="K420" s="51"/>
      <c r="L420" s="51"/>
      <c r="M420" s="51"/>
      <c r="N420" s="51"/>
    </row>
    <row r="421" spans="8:14" ht="15" x14ac:dyDescent="0.25">
      <c r="H421" s="50"/>
      <c r="I421" s="51"/>
      <c r="J421" s="51"/>
      <c r="K421" s="51"/>
      <c r="L421" s="51"/>
      <c r="M421" s="51"/>
      <c r="N421" s="51"/>
    </row>
    <row r="422" spans="8:14" ht="15" x14ac:dyDescent="0.25">
      <c r="H422" s="50"/>
      <c r="I422" s="51"/>
      <c r="J422" s="51"/>
      <c r="K422" s="51"/>
      <c r="L422" s="51"/>
      <c r="M422" s="51"/>
      <c r="N422" s="51"/>
    </row>
    <row r="423" spans="8:14" ht="15" x14ac:dyDescent="0.25">
      <c r="H423" s="50"/>
      <c r="I423" s="51"/>
      <c r="J423" s="51"/>
      <c r="K423" s="51"/>
      <c r="L423" s="51"/>
      <c r="M423" s="51"/>
      <c r="N423" s="51"/>
    </row>
    <row r="424" spans="8:14" ht="15" x14ac:dyDescent="0.25">
      <c r="H424" s="50"/>
      <c r="I424" s="51"/>
      <c r="J424" s="51"/>
      <c r="K424" s="51"/>
      <c r="L424" s="51"/>
      <c r="M424" s="51"/>
      <c r="N424" s="51"/>
    </row>
    <row r="425" spans="8:14" ht="15" x14ac:dyDescent="0.25">
      <c r="H425" s="50"/>
      <c r="I425" s="51"/>
      <c r="J425" s="51"/>
      <c r="K425" s="51"/>
      <c r="L425" s="51"/>
      <c r="M425" s="51"/>
      <c r="N425" s="51"/>
    </row>
    <row r="426" spans="8:14" ht="15" x14ac:dyDescent="0.25">
      <c r="H426" s="50"/>
      <c r="I426" s="51"/>
      <c r="J426" s="51"/>
      <c r="K426" s="51"/>
      <c r="L426" s="51"/>
      <c r="M426" s="51"/>
      <c r="N426" s="51"/>
    </row>
    <row r="427" spans="8:14" ht="15" x14ac:dyDescent="0.25">
      <c r="H427" s="50"/>
      <c r="I427" s="51"/>
      <c r="J427" s="51"/>
      <c r="K427" s="51"/>
      <c r="L427" s="51"/>
      <c r="M427" s="51"/>
      <c r="N427" s="51"/>
    </row>
    <row r="428" spans="8:14" ht="15" x14ac:dyDescent="0.25">
      <c r="H428" s="50"/>
      <c r="I428" s="51"/>
      <c r="J428" s="51"/>
      <c r="K428" s="51"/>
      <c r="L428" s="51"/>
      <c r="M428" s="51"/>
      <c r="N428" s="51"/>
    </row>
    <row r="429" spans="8:14" ht="15" x14ac:dyDescent="0.25">
      <c r="H429" s="50"/>
      <c r="I429" s="51"/>
      <c r="J429" s="51"/>
      <c r="K429" s="51"/>
      <c r="L429" s="51"/>
      <c r="M429" s="51"/>
      <c r="N429" s="51"/>
    </row>
    <row r="430" spans="8:14" ht="15" x14ac:dyDescent="0.25">
      <c r="H430" s="50"/>
      <c r="I430" s="51"/>
      <c r="J430" s="51"/>
      <c r="K430" s="51"/>
      <c r="L430" s="51"/>
      <c r="M430" s="51"/>
      <c r="N430" s="51"/>
    </row>
    <row r="431" spans="8:14" ht="15" x14ac:dyDescent="0.25">
      <c r="H431" s="50"/>
      <c r="I431" s="51"/>
      <c r="J431" s="51"/>
      <c r="K431" s="51"/>
      <c r="L431" s="51"/>
      <c r="M431" s="51"/>
      <c r="N431" s="51"/>
    </row>
    <row r="432" spans="8:14" ht="15" x14ac:dyDescent="0.25">
      <c r="H432" s="50"/>
      <c r="I432" s="51"/>
      <c r="J432" s="51"/>
      <c r="K432" s="51"/>
      <c r="L432" s="51"/>
      <c r="M432" s="51"/>
      <c r="N432" s="51"/>
    </row>
    <row r="433" spans="8:14" ht="15" x14ac:dyDescent="0.25">
      <c r="H433" s="50"/>
      <c r="I433" s="51"/>
      <c r="J433" s="51"/>
      <c r="K433" s="51"/>
      <c r="L433" s="51"/>
      <c r="M433" s="51"/>
      <c r="N433" s="51"/>
    </row>
    <row r="434" spans="8:14" ht="15" x14ac:dyDescent="0.25">
      <c r="H434" s="50"/>
      <c r="I434" s="51"/>
      <c r="J434" s="51"/>
      <c r="K434" s="51"/>
      <c r="L434" s="51"/>
      <c r="M434" s="51"/>
      <c r="N434" s="51"/>
    </row>
    <row r="435" spans="8:14" ht="15" x14ac:dyDescent="0.25">
      <c r="H435" s="50"/>
      <c r="I435" s="51"/>
      <c r="J435" s="51"/>
      <c r="K435" s="51"/>
      <c r="L435" s="51"/>
      <c r="M435" s="51"/>
      <c r="N435" s="51"/>
    </row>
    <row r="436" spans="8:14" ht="15" x14ac:dyDescent="0.25">
      <c r="H436" s="50"/>
      <c r="I436" s="51"/>
      <c r="J436" s="51"/>
      <c r="K436" s="51"/>
      <c r="L436" s="51"/>
      <c r="M436" s="51"/>
      <c r="N436" s="51"/>
    </row>
    <row r="437" spans="8:14" ht="15" x14ac:dyDescent="0.25">
      <c r="H437" s="50"/>
      <c r="I437" s="51"/>
      <c r="J437" s="51"/>
      <c r="K437" s="51"/>
      <c r="L437" s="51"/>
      <c r="M437" s="51"/>
      <c r="N437" s="51"/>
    </row>
    <row r="438" spans="8:14" ht="15" x14ac:dyDescent="0.25">
      <c r="H438" s="50"/>
      <c r="I438" s="51"/>
      <c r="J438" s="51"/>
      <c r="K438" s="51"/>
      <c r="L438" s="51"/>
      <c r="M438" s="51"/>
      <c r="N438" s="51"/>
    </row>
    <row r="439" spans="8:14" ht="15" x14ac:dyDescent="0.25">
      <c r="H439" s="50"/>
      <c r="I439" s="51"/>
      <c r="J439" s="51"/>
      <c r="K439" s="51"/>
      <c r="L439" s="51"/>
      <c r="M439" s="51"/>
      <c r="N439" s="51"/>
    </row>
    <row r="440" spans="8:14" ht="15" x14ac:dyDescent="0.25">
      <c r="H440" s="50"/>
      <c r="I440" s="51"/>
      <c r="J440" s="51"/>
      <c r="K440" s="51"/>
      <c r="L440" s="51"/>
      <c r="M440" s="51"/>
      <c r="N440" s="51"/>
    </row>
    <row r="441" spans="8:14" ht="15" x14ac:dyDescent="0.25">
      <c r="H441" s="50"/>
      <c r="I441" s="51"/>
      <c r="J441" s="51"/>
      <c r="K441" s="51"/>
      <c r="L441" s="51"/>
      <c r="M441" s="51"/>
      <c r="N441" s="51"/>
    </row>
    <row r="442" spans="8:14" ht="15" x14ac:dyDescent="0.25">
      <c r="H442" s="50"/>
      <c r="I442" s="51"/>
      <c r="J442" s="51"/>
      <c r="K442" s="51"/>
      <c r="L442" s="51"/>
      <c r="M442" s="51"/>
      <c r="N442" s="51"/>
    </row>
    <row r="443" spans="8:14" ht="15" x14ac:dyDescent="0.25">
      <c r="H443" s="50"/>
      <c r="I443" s="51"/>
      <c r="J443" s="51"/>
      <c r="K443" s="51"/>
      <c r="L443" s="51"/>
      <c r="M443" s="51"/>
      <c r="N443" s="51"/>
    </row>
    <row r="444" spans="8:14" ht="15" x14ac:dyDescent="0.25">
      <c r="H444" s="50"/>
      <c r="I444" s="51"/>
      <c r="J444" s="51"/>
      <c r="K444" s="51"/>
      <c r="L444" s="51"/>
      <c r="M444" s="51"/>
      <c r="N444" s="51"/>
    </row>
    <row r="445" spans="8:14" ht="15" x14ac:dyDescent="0.25">
      <c r="H445" s="50"/>
      <c r="I445" s="51"/>
      <c r="J445" s="51"/>
      <c r="K445" s="51"/>
      <c r="L445" s="51"/>
      <c r="M445" s="51"/>
      <c r="N445" s="51"/>
    </row>
    <row r="446" spans="8:14" ht="15" x14ac:dyDescent="0.25">
      <c r="H446" s="50"/>
      <c r="I446" s="51"/>
      <c r="J446" s="51"/>
      <c r="K446" s="51"/>
      <c r="L446" s="51"/>
      <c r="M446" s="51"/>
      <c r="N446" s="51"/>
    </row>
    <row r="447" spans="8:14" ht="15" x14ac:dyDescent="0.25">
      <c r="H447" s="50"/>
      <c r="I447" s="51"/>
      <c r="J447" s="51"/>
      <c r="K447" s="51"/>
      <c r="L447" s="51"/>
      <c r="M447" s="51"/>
      <c r="N447" s="51"/>
    </row>
    <row r="448" spans="8:14" ht="15" x14ac:dyDescent="0.25">
      <c r="H448" s="50"/>
      <c r="I448" s="51"/>
      <c r="J448" s="51"/>
      <c r="K448" s="51"/>
      <c r="L448" s="51"/>
      <c r="M448" s="51"/>
      <c r="N448" s="51"/>
    </row>
    <row r="449" spans="8:14" ht="15" x14ac:dyDescent="0.25">
      <c r="H449" s="50"/>
      <c r="I449" s="51"/>
      <c r="J449" s="51"/>
      <c r="K449" s="51"/>
      <c r="L449" s="51"/>
      <c r="M449" s="51"/>
      <c r="N449" s="51"/>
    </row>
    <row r="450" spans="8:14" ht="15" x14ac:dyDescent="0.25">
      <c r="H450" s="50"/>
      <c r="I450" s="51"/>
      <c r="J450" s="51"/>
      <c r="K450" s="51"/>
      <c r="L450" s="51"/>
      <c r="M450" s="51"/>
      <c r="N450" s="51"/>
    </row>
    <row r="451" spans="8:14" ht="15" x14ac:dyDescent="0.25">
      <c r="H451" s="50"/>
      <c r="I451" s="51"/>
      <c r="J451" s="51"/>
      <c r="K451" s="51"/>
      <c r="L451" s="51"/>
      <c r="M451" s="51"/>
      <c r="N451" s="51"/>
    </row>
    <row r="452" spans="8:14" ht="15" x14ac:dyDescent="0.25">
      <c r="H452" s="50"/>
      <c r="I452" s="51"/>
      <c r="J452" s="51"/>
      <c r="K452" s="51"/>
      <c r="L452" s="51"/>
      <c r="M452" s="51"/>
      <c r="N452" s="51"/>
    </row>
    <row r="453" spans="8:14" ht="15" x14ac:dyDescent="0.25">
      <c r="H453" s="50"/>
      <c r="I453" s="51"/>
      <c r="J453" s="51"/>
      <c r="K453" s="51"/>
      <c r="L453" s="51"/>
      <c r="M453" s="51"/>
      <c r="N453" s="51"/>
    </row>
    <row r="454" spans="8:14" ht="15" x14ac:dyDescent="0.25">
      <c r="H454" s="50"/>
      <c r="I454" s="51"/>
      <c r="J454" s="51"/>
      <c r="K454" s="51"/>
      <c r="L454" s="51"/>
      <c r="M454" s="51"/>
      <c r="N454" s="51"/>
    </row>
    <row r="455" spans="8:14" ht="15" x14ac:dyDescent="0.25">
      <c r="H455" s="50"/>
      <c r="I455" s="51"/>
      <c r="J455" s="51"/>
      <c r="K455" s="51"/>
      <c r="L455" s="51"/>
      <c r="M455" s="51"/>
      <c r="N455" s="51"/>
    </row>
    <row r="456" spans="8:14" ht="15" x14ac:dyDescent="0.25">
      <c r="H456" s="50"/>
      <c r="I456" s="51"/>
      <c r="J456" s="51"/>
      <c r="K456" s="51"/>
      <c r="L456" s="51"/>
      <c r="M456" s="51"/>
      <c r="N456" s="51"/>
    </row>
    <row r="457" spans="8:14" ht="15" x14ac:dyDescent="0.25">
      <c r="H457" s="50"/>
      <c r="I457" s="51"/>
      <c r="J457" s="51"/>
      <c r="K457" s="51"/>
      <c r="L457" s="51"/>
      <c r="M457" s="51"/>
      <c r="N457" s="51"/>
    </row>
    <row r="458" spans="8:14" ht="15" x14ac:dyDescent="0.25">
      <c r="H458" s="50"/>
      <c r="I458" s="51"/>
      <c r="J458" s="51"/>
      <c r="K458" s="51"/>
      <c r="L458" s="51"/>
      <c r="M458" s="51"/>
      <c r="N458" s="51"/>
    </row>
    <row r="459" spans="8:14" ht="15" x14ac:dyDescent="0.25">
      <c r="H459" s="50"/>
      <c r="I459" s="51"/>
      <c r="J459" s="51"/>
      <c r="K459" s="51"/>
      <c r="L459" s="51"/>
      <c r="M459" s="51"/>
      <c r="N459" s="51"/>
    </row>
    <row r="460" spans="8:14" ht="15" x14ac:dyDescent="0.25">
      <c r="H460" s="50"/>
      <c r="I460" s="51"/>
      <c r="J460" s="51"/>
      <c r="K460" s="51"/>
      <c r="L460" s="51"/>
      <c r="M460" s="51"/>
      <c r="N460" s="51"/>
    </row>
    <row r="461" spans="8:14" ht="15" x14ac:dyDescent="0.25">
      <c r="H461" s="50"/>
      <c r="I461" s="51"/>
      <c r="J461" s="51"/>
      <c r="K461" s="51"/>
      <c r="L461" s="51"/>
      <c r="M461" s="51"/>
      <c r="N461" s="51"/>
    </row>
    <row r="462" spans="8:14" ht="15" x14ac:dyDescent="0.25">
      <c r="H462" s="50"/>
      <c r="I462" s="51"/>
      <c r="J462" s="51"/>
      <c r="K462" s="51"/>
      <c r="L462" s="51"/>
      <c r="M462" s="51"/>
      <c r="N462" s="51"/>
    </row>
  </sheetData>
  <mergeCells count="28">
    <mergeCell ref="X34:X36"/>
    <mergeCell ref="Y34:Y36"/>
    <mergeCell ref="T55:T56"/>
    <mergeCell ref="U55:U56"/>
    <mergeCell ref="X55:X56"/>
    <mergeCell ref="R86:S86"/>
    <mergeCell ref="S63:S64"/>
    <mergeCell ref="U30:V30"/>
    <mergeCell ref="U34:V34"/>
    <mergeCell ref="U35:V36"/>
    <mergeCell ref="Q41:S42"/>
    <mergeCell ref="Q47:R48"/>
    <mergeCell ref="Q12:Y13"/>
    <mergeCell ref="Q38:Y39"/>
    <mergeCell ref="T63:U64"/>
    <mergeCell ref="E1:P1"/>
    <mergeCell ref="C8:K8"/>
    <mergeCell ref="B3:L3"/>
    <mergeCell ref="B4:L4"/>
    <mergeCell ref="Q18:S19"/>
    <mergeCell ref="Q25:R26"/>
    <mergeCell ref="U28:V29"/>
    <mergeCell ref="U31:V32"/>
    <mergeCell ref="C14:D15"/>
    <mergeCell ref="E36:F37"/>
    <mergeCell ref="H10:N10"/>
    <mergeCell ref="X30:X32"/>
    <mergeCell ref="Y30:Y32"/>
  </mergeCells>
  <conditionalFormatting sqref="J16:J315">
    <cfRule type="dataBar" priority="7">
      <dataBar>
        <cfvo type="min"/>
        <cfvo type="max"/>
        <color rgb="FFFF555A"/>
      </dataBar>
    </cfRule>
  </conditionalFormatting>
  <conditionalFormatting sqref="J16:J315">
    <cfRule type="dataBar" priority="6">
      <dataBar>
        <cfvo type="min"/>
        <cfvo type="max"/>
        <color theme="5" tint="0.59999389629810485"/>
      </dataBar>
    </cfRule>
  </conditionalFormatting>
  <conditionalFormatting sqref="J16:J315">
    <cfRule type="dataBar" priority="5">
      <dataBar>
        <cfvo type="min"/>
        <cfvo type="max"/>
        <color theme="5" tint="0.39997558519241921"/>
      </dataBar>
    </cfRule>
  </conditionalFormatting>
  <conditionalFormatting sqref="K16:K315">
    <cfRule type="dataBar" priority="4">
      <dataBar>
        <cfvo type="min"/>
        <cfvo type="max"/>
        <color rgb="FF63C384"/>
      </dataBar>
    </cfRule>
  </conditionalFormatting>
  <conditionalFormatting sqref="K16:K315">
    <cfRule type="dataBar" priority="3">
      <dataBar>
        <cfvo type="min"/>
        <cfvo type="formula" val="$K$16&gt;$K$15"/>
        <color rgb="FF638EC6"/>
      </dataBar>
    </cfRule>
  </conditionalFormatting>
  <dataValidations count="4">
    <dataValidation type="list" allowBlank="1" showInputMessage="1" showErrorMessage="1" sqref="D21">
      <formula1>$C$65:$C$71</formula1>
    </dataValidation>
    <dataValidation type="list" allowBlank="1" showInputMessage="1" showErrorMessage="1" sqref="D18">
      <formula1>$C$46:$C$53</formula1>
    </dataValidation>
    <dataValidation type="list" allowBlank="1" showInputMessage="1" showErrorMessage="1" sqref="D17">
      <formula1>$C$46:$C$60</formula1>
    </dataValidation>
    <dataValidation type="list" allowBlank="1" showInputMessage="1" showErrorMessage="1" sqref="D19">
      <formula1>$C$62:$C$63</formula1>
    </dataValidation>
  </dataValidations>
  <hyperlinks>
    <hyperlink ref="C5" location="Índice!A1" display="Regresar"/>
  </hyperlinks>
  <pageMargins left="0.75" right="0.75" top="1" bottom="1" header="0" footer="0"/>
  <pageSetup paperSize="9" orientation="portrait" r:id="rId1"/>
  <headerFooter alignWithMargins="0"/>
  <drawing r:id="rId2"/>
  <legacyDrawing r:id="rId3"/>
  <oleObjects>
    <mc:AlternateContent xmlns:mc="http://schemas.openxmlformats.org/markup-compatibility/2006">
      <mc:Choice Requires="x14">
        <oleObject progId="Equation.3" shapeId="2049" r:id="rId4">
          <objectPr defaultSize="0" autoPict="0" r:id="rId5">
            <anchor moveWithCells="1">
              <from>
                <xdr:col>19</xdr:col>
                <xdr:colOff>219075</xdr:colOff>
                <xdr:row>15</xdr:row>
                <xdr:rowOff>161925</xdr:rowOff>
              </from>
              <to>
                <xdr:col>23</xdr:col>
                <xdr:colOff>666750</xdr:colOff>
                <xdr:row>21</xdr:row>
                <xdr:rowOff>28575</xdr:rowOff>
              </to>
            </anchor>
          </objectPr>
        </oleObject>
      </mc:Choice>
      <mc:Fallback>
        <oleObject progId="Equation.3" shapeId="2049" r:id="rId4"/>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AA464"/>
  <sheetViews>
    <sheetView showGridLines="0" showRowColHeaders="0" topLeftCell="A7" zoomScale="75" workbookViewId="0">
      <selection activeCell="D42" sqref="D42"/>
    </sheetView>
  </sheetViews>
  <sheetFormatPr baseColWidth="10" defaultRowHeight="12.75" x14ac:dyDescent="0.2"/>
  <cols>
    <col min="1" max="2" width="4.7109375" style="41" customWidth="1"/>
    <col min="3" max="3" width="29.42578125" style="41" customWidth="1"/>
    <col min="4" max="4" width="24.5703125" style="41" customWidth="1"/>
    <col min="5" max="5" width="18.5703125" style="41" customWidth="1"/>
    <col min="6" max="6" width="14.140625" style="41" bestFit="1" customWidth="1"/>
    <col min="7" max="7" width="14.140625" style="41" customWidth="1"/>
    <col min="8" max="9" width="19.28515625" style="45" customWidth="1"/>
    <col min="10" max="10" width="22.7109375" style="45" customWidth="1"/>
    <col min="11" max="11" width="13.85546875" style="41" customWidth="1"/>
    <col min="12" max="12" width="14" style="41" customWidth="1"/>
    <col min="13" max="13" width="15.140625" style="41" customWidth="1"/>
    <col min="14" max="14" width="14" style="41" customWidth="1"/>
    <col min="15" max="15" width="6.85546875" style="41" customWidth="1"/>
    <col min="16" max="16" width="13.7109375" style="41" customWidth="1"/>
    <col min="17" max="19" width="11.42578125" style="41"/>
    <col min="20" max="21" width="12.140625" style="41" bestFit="1" customWidth="1"/>
    <col min="22" max="22" width="7.5703125" style="41" bestFit="1" customWidth="1"/>
    <col min="23" max="23" width="11.85546875" style="41" bestFit="1" customWidth="1"/>
    <col min="24" max="24" width="12.140625" style="41" bestFit="1" customWidth="1"/>
    <col min="25" max="25" width="6.42578125" style="41" customWidth="1"/>
    <col min="26" max="16384" width="11.42578125" style="41"/>
  </cols>
  <sheetData>
    <row r="1" spans="1:27" s="39" customFormat="1" ht="77.25" customHeight="1" x14ac:dyDescent="0.4">
      <c r="A1" s="38"/>
      <c r="B1" s="38"/>
      <c r="C1" s="38"/>
      <c r="D1" s="38"/>
      <c r="E1" s="130"/>
      <c r="F1" s="130"/>
      <c r="G1" s="130"/>
      <c r="H1" s="130"/>
      <c r="I1" s="130"/>
      <c r="J1" s="130"/>
      <c r="K1" s="130"/>
      <c r="L1" s="130"/>
      <c r="M1" s="130"/>
      <c r="N1" s="130"/>
      <c r="O1" s="130"/>
      <c r="P1" s="130"/>
      <c r="Q1" s="130"/>
      <c r="R1" s="130"/>
    </row>
    <row r="2" spans="1:27" ht="21" x14ac:dyDescent="0.35">
      <c r="A2" s="38"/>
      <c r="B2" s="38"/>
      <c r="C2" s="38"/>
      <c r="D2" s="38"/>
      <c r="E2" s="40"/>
      <c r="F2" s="40"/>
      <c r="G2" s="40"/>
      <c r="H2" s="40"/>
      <c r="I2" s="40"/>
      <c r="J2" s="40"/>
      <c r="K2" s="40"/>
      <c r="L2" s="40"/>
      <c r="M2" s="40"/>
      <c r="N2" s="40"/>
      <c r="O2" s="40"/>
      <c r="P2" s="40"/>
      <c r="Q2" s="40"/>
      <c r="R2" s="40"/>
    </row>
    <row r="3" spans="1:27" ht="28.5" x14ac:dyDescent="0.2">
      <c r="B3" s="161" t="s">
        <v>45</v>
      </c>
      <c r="C3" s="161"/>
      <c r="D3" s="161"/>
      <c r="E3" s="161"/>
      <c r="F3" s="161"/>
      <c r="G3" s="161"/>
      <c r="H3" s="161"/>
      <c r="I3" s="161"/>
      <c r="J3" s="161"/>
      <c r="K3" s="161"/>
      <c r="L3" s="148"/>
      <c r="M3" s="148"/>
      <c r="N3" s="148"/>
      <c r="O3" s="148"/>
      <c r="P3" s="148"/>
      <c r="Q3" s="42"/>
    </row>
    <row r="4" spans="1:27" ht="21" x14ac:dyDescent="0.2">
      <c r="B4" s="162" t="s">
        <v>64</v>
      </c>
      <c r="C4" s="162"/>
      <c r="D4" s="162"/>
      <c r="E4" s="162"/>
      <c r="F4" s="162"/>
      <c r="G4" s="162"/>
      <c r="H4" s="162"/>
      <c r="I4" s="162"/>
      <c r="J4" s="162"/>
      <c r="K4" s="162"/>
      <c r="L4" s="43"/>
      <c r="M4" s="43"/>
      <c r="N4" s="43"/>
      <c r="O4" s="43"/>
      <c r="P4" s="43"/>
      <c r="Q4" s="43"/>
    </row>
    <row r="5" spans="1:27" ht="21.75" customHeight="1" x14ac:dyDescent="0.2">
      <c r="C5" s="44" t="s">
        <v>65</v>
      </c>
    </row>
    <row r="7" spans="1:27" ht="13.5" thickBot="1" x14ac:dyDescent="0.25"/>
    <row r="8" spans="1:27" ht="36.75" customHeight="1" x14ac:dyDescent="0.2">
      <c r="C8" s="193" t="s">
        <v>108</v>
      </c>
      <c r="D8" s="194"/>
      <c r="E8" s="194"/>
      <c r="F8" s="194"/>
      <c r="G8" s="194"/>
      <c r="H8" s="194"/>
      <c r="I8" s="194"/>
      <c r="J8" s="194"/>
      <c r="K8" s="194"/>
      <c r="L8" s="194"/>
      <c r="M8" s="195"/>
    </row>
    <row r="9" spans="1:27" ht="36.75" customHeight="1" thickBot="1" x14ac:dyDescent="0.25">
      <c r="C9" s="196"/>
      <c r="D9" s="197"/>
      <c r="E9" s="197"/>
      <c r="F9" s="197"/>
      <c r="G9" s="197"/>
      <c r="H9" s="197"/>
      <c r="I9" s="197"/>
      <c r="J9" s="197"/>
      <c r="K9" s="197"/>
      <c r="L9" s="197"/>
      <c r="M9" s="198"/>
    </row>
    <row r="12" spans="1:27" ht="21" x14ac:dyDescent="0.35">
      <c r="H12" s="178" t="str">
        <f>CONCATENATE("Tablas de amortización"," ",credito)</f>
        <v>Tablas de amortización Francesa</v>
      </c>
      <c r="I12" s="178"/>
      <c r="J12" s="178"/>
      <c r="K12" s="178"/>
      <c r="L12" s="178"/>
      <c r="M12" s="178"/>
      <c r="N12" s="178"/>
      <c r="O12" s="178"/>
      <c r="P12" s="178"/>
    </row>
    <row r="13" spans="1:27" ht="21.75" thickBot="1" x14ac:dyDescent="0.4">
      <c r="H13" s="102"/>
      <c r="I13" s="102"/>
      <c r="J13" s="102"/>
      <c r="K13" s="102"/>
      <c r="L13" s="102"/>
      <c r="M13" s="102"/>
      <c r="N13" s="102"/>
      <c r="O13" s="102"/>
      <c r="P13" s="102"/>
    </row>
    <row r="14" spans="1:27" ht="30" x14ac:dyDescent="0.35">
      <c r="H14" s="91"/>
      <c r="I14" s="91"/>
      <c r="J14" s="104" t="s">
        <v>111</v>
      </c>
      <c r="K14" s="104" t="s">
        <v>83</v>
      </c>
      <c r="L14" s="104" t="s">
        <v>84</v>
      </c>
      <c r="M14" s="104" t="s">
        <v>85</v>
      </c>
      <c r="N14" s="91"/>
      <c r="O14" s="91"/>
      <c r="P14" s="91"/>
      <c r="S14" s="151" t="s">
        <v>91</v>
      </c>
      <c r="T14" s="151"/>
      <c r="U14" s="151"/>
      <c r="V14" s="151"/>
      <c r="W14" s="151"/>
      <c r="X14" s="151"/>
      <c r="Y14" s="151"/>
      <c r="Z14" s="151"/>
      <c r="AA14" s="151"/>
    </row>
    <row r="15" spans="1:27" ht="21.75" thickBot="1" x14ac:dyDescent="0.4">
      <c r="H15" s="90"/>
      <c r="I15" s="90"/>
      <c r="J15" s="103">
        <f>SUM(J18:J317)</f>
        <v>250</v>
      </c>
      <c r="K15" s="103">
        <f>SUM(K18:K317)</f>
        <v>6210.5736241633431</v>
      </c>
      <c r="L15" s="103">
        <f>SUM(L18:L317)</f>
        <v>1210.5736241633397</v>
      </c>
      <c r="M15" s="103">
        <f>K15-L15</f>
        <v>5000.0000000000036</v>
      </c>
      <c r="O15" s="91"/>
      <c r="P15" s="91"/>
      <c r="S15" s="152"/>
      <c r="T15" s="152"/>
      <c r="U15" s="152"/>
      <c r="V15" s="152"/>
      <c r="W15" s="152"/>
      <c r="X15" s="152"/>
      <c r="Y15" s="152"/>
      <c r="Z15" s="152"/>
      <c r="AA15" s="152"/>
    </row>
    <row r="16" spans="1:27" ht="15.75" customHeight="1" thickBot="1" x14ac:dyDescent="0.3">
      <c r="C16" s="170" t="s">
        <v>46</v>
      </c>
      <c r="D16" s="171"/>
      <c r="E16" s="46"/>
      <c r="F16" s="46"/>
      <c r="G16" s="46"/>
      <c r="H16" s="47" t="s">
        <v>5</v>
      </c>
      <c r="I16" s="48" t="s">
        <v>106</v>
      </c>
      <c r="J16" s="48" t="s">
        <v>107</v>
      </c>
      <c r="K16" s="48" t="s">
        <v>3</v>
      </c>
      <c r="L16" s="48" t="s">
        <v>6</v>
      </c>
      <c r="M16" s="48" t="s">
        <v>7</v>
      </c>
      <c r="N16" s="136" t="s">
        <v>8</v>
      </c>
      <c r="O16" s="135"/>
      <c r="P16" s="137" t="s">
        <v>10</v>
      </c>
      <c r="Q16" s="118"/>
    </row>
    <row r="17" spans="1:27" ht="15.75" thickBot="1" x14ac:dyDescent="0.3">
      <c r="C17" s="172"/>
      <c r="D17" s="173"/>
      <c r="E17" s="46"/>
      <c r="F17" s="46"/>
      <c r="G17" s="46"/>
      <c r="H17" s="50">
        <v>0</v>
      </c>
      <c r="I17" s="51">
        <f>+N17*D37</f>
        <v>250</v>
      </c>
      <c r="J17" s="50"/>
      <c r="K17" s="51"/>
      <c r="L17" s="51"/>
      <c r="M17" s="51"/>
      <c r="N17" s="51">
        <f>+D26</f>
        <v>5000</v>
      </c>
      <c r="O17" s="51"/>
      <c r="P17" s="51">
        <f>+N17-I17</f>
        <v>4750</v>
      </c>
      <c r="S17" s="52" t="s">
        <v>56</v>
      </c>
      <c r="T17" s="53"/>
      <c r="U17" s="54">
        <f>+D33</f>
        <v>24</v>
      </c>
    </row>
    <row r="18" spans="1:27" ht="15" x14ac:dyDescent="0.25">
      <c r="C18" s="49"/>
      <c r="D18" s="55"/>
      <c r="E18" s="46"/>
      <c r="F18" s="46"/>
      <c r="G18" s="46"/>
      <c r="H18" s="56">
        <v>1</v>
      </c>
      <c r="I18" s="56"/>
      <c r="J18" s="57" t="str">
        <f>IF(H18&lt;&gt;$D$33,"",IF($D$23="Quincenal",$I$17*(1+$D$35*30/360)^($D$33/2),IF($D$23="Mensual",$I$17*(1+$D$35*30/360)^$D$33,IF($D$23="Bimensual",$I$17*(1+$D$35*30/360)^($D$33*2),IF($D$23="Trimestral",$I$17*(1+$D$35*30/360)^($D$33*3),IF($D$23="Cuatrimestral",$I$17*(1+$D$35*30/360)^($D$33*4),IF($D$23="Semestral",$I$17*(1+$D$35*30/360)^($D$33*6),IF($D$23="Anual",$I$17*(1+$D$35*30/360)^($D$33*12)))))))))</f>
        <v/>
      </c>
      <c r="K18" s="57">
        <f>IF(credito="Francesa",-PMT(D28/$D$24,$U$17,D26,0),IF(credito="Alemana",L18+M18))</f>
        <v>258.77390100680589</v>
      </c>
      <c r="L18" s="105">
        <f>N17*$D$28/$D$24</f>
        <v>90.625</v>
      </c>
      <c r="M18" s="105">
        <f>IF(H18&lt;=$U$17,IF(credito="Francesa",K18-L18,IF(credito="Alemana",N17/$U$17))," ")</f>
        <v>168.14890100680589</v>
      </c>
      <c r="N18" s="57">
        <f>IF(H18&lt;=$U$17,N17-M18," ")</f>
        <v>4831.8510989931938</v>
      </c>
      <c r="O18" s="51"/>
      <c r="P18" s="57">
        <f>IFERROR(SUM(IF(H18&lt;=$U$17,-K18," "),J18)," ")</f>
        <v>-258.77390100680589</v>
      </c>
    </row>
    <row r="19" spans="1:27" ht="30" x14ac:dyDescent="0.25">
      <c r="C19" s="80" t="s">
        <v>48</v>
      </c>
      <c r="D19" s="81" t="s">
        <v>52</v>
      </c>
      <c r="E19" s="46"/>
      <c r="F19" s="46"/>
      <c r="G19" s="46"/>
      <c r="H19" s="50">
        <f>IF($H18&gt;=$U$17," ",H18+1)</f>
        <v>2</v>
      </c>
      <c r="I19" s="50"/>
      <c r="J19" s="51" t="str">
        <f t="shared" ref="J19:J82" si="0">IF(H19&lt;&gt;$D$33,"",IF($D$23="Quincenal",$I$17*(1+$D$35*30/360)^($D$33/2),IF($D$23="Mensual",$I$17*(1+$D$35*30/360)^$D$33,IF($D$23="Bimensual",$I$17*(1+$D$35*30/360)^($D$33*2),IF($D$23="Trimestral",$I$17*(1+$D$35*30/360)^($D$33*3),IF($D$23="Cuatrimestral",$I$17*(1+$D$35*30/360)^($D$33*4),IF($D$23="Semestral",$I$17*(1+$D$35*30/360)^($D$33*6),IF($D$23="Anual",$I$17*(1+$D$35*30/360)^($D$33*12)))))))))</f>
        <v/>
      </c>
      <c r="K19" s="51">
        <f t="shared" ref="K19:K82" si="1">IF(H18&lt;=$U$17,IF(credito="Francesa",IF(H19&lt;=$U$17,$K18,0),IF(credito="Alemana",IF(H19&lt;=$U$17,L19+M19,0))),"")</f>
        <v>258.77390100680589</v>
      </c>
      <c r="L19" s="106">
        <f>IF(H19&lt;=$U$17,N18*$D$28/$D$24," ")</f>
        <v>87.577301169251641</v>
      </c>
      <c r="M19" s="106">
        <f t="shared" ref="M19:M82" si="2">IF(H19&lt;=$U$17,IF(credito="Francesa",K19-L19,IF(credito="Alemana",IF(H19&lt;=$U$17,$M18,0)))," ")</f>
        <v>171.19659983755423</v>
      </c>
      <c r="N19" s="51">
        <f t="shared" ref="N19:N82" si="3">IF(H19&lt;=$U$17,N18-M19," ")</f>
        <v>4660.6544991556393</v>
      </c>
      <c r="O19" s="51"/>
      <c r="P19" s="51">
        <f t="shared" ref="P19:P82" si="4">IFERROR(SUM(IF(H19&lt;=$U$17,-K19," "),J19)," ")</f>
        <v>-258.77390100680589</v>
      </c>
    </row>
    <row r="20" spans="1:27" ht="15" x14ac:dyDescent="0.25">
      <c r="C20" s="58"/>
      <c r="D20" s="55"/>
      <c r="E20" s="46"/>
      <c r="F20" s="46"/>
      <c r="G20" s="46"/>
      <c r="H20" s="50">
        <f t="shared" ref="H20:H83" si="5">IF($H19&gt;=$U$17," ",H19+1)</f>
        <v>3</v>
      </c>
      <c r="I20" s="50"/>
      <c r="J20" s="51" t="str">
        <f t="shared" si="0"/>
        <v/>
      </c>
      <c r="K20" s="51">
        <f t="shared" si="1"/>
        <v>258.77390100680589</v>
      </c>
      <c r="L20" s="106">
        <f t="shared" ref="L20:L83" si="6">IF(H20&lt;=$U$17,N19*$D$28/$D$24," ")</f>
        <v>84.474362797195965</v>
      </c>
      <c r="M20" s="106">
        <f t="shared" si="2"/>
        <v>174.29953820960992</v>
      </c>
      <c r="N20" s="51">
        <f t="shared" si="3"/>
        <v>4486.3549609460297</v>
      </c>
      <c r="O20" s="51"/>
      <c r="P20" s="51">
        <f t="shared" si="4"/>
        <v>-258.77390100680589</v>
      </c>
      <c r="S20" s="163" t="s">
        <v>86</v>
      </c>
      <c r="T20" s="163"/>
      <c r="U20" s="163"/>
    </row>
    <row r="21" spans="1:27" ht="15" x14ac:dyDescent="0.25">
      <c r="C21" s="80" t="s">
        <v>75</v>
      </c>
      <c r="D21" s="81" t="s">
        <v>63</v>
      </c>
      <c r="E21" s="46"/>
      <c r="F21" s="46"/>
      <c r="G21" s="46"/>
      <c r="H21" s="50">
        <f t="shared" si="5"/>
        <v>4</v>
      </c>
      <c r="I21" s="50"/>
      <c r="J21" s="51" t="str">
        <f t="shared" si="0"/>
        <v/>
      </c>
      <c r="K21" s="51">
        <f t="shared" si="1"/>
        <v>258.77390100680589</v>
      </c>
      <c r="L21" s="106">
        <f t="shared" si="6"/>
        <v>81.315183667146783</v>
      </c>
      <c r="M21" s="106">
        <f t="shared" si="2"/>
        <v>177.4587173396591</v>
      </c>
      <c r="N21" s="51">
        <f t="shared" si="3"/>
        <v>4308.8962436063703</v>
      </c>
      <c r="O21" s="51"/>
      <c r="P21" s="51">
        <f t="shared" si="4"/>
        <v>-258.77390100680589</v>
      </c>
      <c r="R21" s="62"/>
      <c r="S21" s="163"/>
      <c r="T21" s="163"/>
      <c r="U21" s="163"/>
    </row>
    <row r="22" spans="1:27" s="62" customFormat="1" ht="15" x14ac:dyDescent="0.25">
      <c r="A22" s="41"/>
      <c r="B22" s="41"/>
      <c r="C22" s="58"/>
      <c r="D22" s="55"/>
      <c r="E22" s="46"/>
      <c r="F22" s="46"/>
      <c r="G22" s="46"/>
      <c r="H22" s="50">
        <f t="shared" si="5"/>
        <v>5</v>
      </c>
      <c r="I22" s="50"/>
      <c r="J22" s="51" t="str">
        <f t="shared" si="0"/>
        <v/>
      </c>
      <c r="K22" s="51">
        <f t="shared" si="1"/>
        <v>258.77390100680589</v>
      </c>
      <c r="L22" s="106">
        <f t="shared" si="6"/>
        <v>78.098744415365459</v>
      </c>
      <c r="M22" s="106">
        <f t="shared" si="2"/>
        <v>180.67515659144044</v>
      </c>
      <c r="N22" s="51">
        <f t="shared" si="3"/>
        <v>4128.2210870149302</v>
      </c>
      <c r="O22" s="51"/>
      <c r="P22" s="51">
        <f t="shared" si="4"/>
        <v>-258.77390100680589</v>
      </c>
      <c r="Q22" s="41"/>
      <c r="R22" s="41"/>
      <c r="S22" s="41"/>
    </row>
    <row r="23" spans="1:27" ht="15" x14ac:dyDescent="0.25">
      <c r="C23" s="80" t="s">
        <v>1</v>
      </c>
      <c r="D23" s="81" t="s">
        <v>77</v>
      </c>
      <c r="E23" s="46"/>
      <c r="F23" s="46"/>
      <c r="G23" s="46"/>
      <c r="H23" s="50">
        <f t="shared" si="5"/>
        <v>6</v>
      </c>
      <c r="I23" s="50"/>
      <c r="J23" s="51" t="str">
        <f t="shared" si="0"/>
        <v/>
      </c>
      <c r="K23" s="51">
        <f t="shared" si="1"/>
        <v>258.77390100680589</v>
      </c>
      <c r="L23" s="106">
        <f t="shared" si="6"/>
        <v>74.824007202145609</v>
      </c>
      <c r="M23" s="106">
        <f t="shared" si="2"/>
        <v>183.94989380466029</v>
      </c>
      <c r="N23" s="51">
        <f t="shared" si="3"/>
        <v>3944.2711932102698</v>
      </c>
      <c r="O23" s="51"/>
      <c r="P23" s="51">
        <f t="shared" si="4"/>
        <v>-258.77390100680589</v>
      </c>
      <c r="R23" s="67"/>
      <c r="S23" s="67"/>
    </row>
    <row r="24" spans="1:27" s="67" customFormat="1" ht="15" x14ac:dyDescent="0.25">
      <c r="A24" s="41"/>
      <c r="B24" s="41"/>
      <c r="C24" s="80"/>
      <c r="D24" s="81">
        <f>IF(D23="Anual",1,IF(D23="Semestral",2,IF(D23="Cuatrimestral",3,IF(D23="Trimestral",4,IF(D23="Bimensual",6,IF(D23="Mensual",12,IF(D23="Quincenal",24)))))))</f>
        <v>12</v>
      </c>
      <c r="E24" s="46"/>
      <c r="F24" s="46"/>
      <c r="G24" s="46"/>
      <c r="H24" s="50">
        <f t="shared" si="5"/>
        <v>7</v>
      </c>
      <c r="I24" s="50"/>
      <c r="J24" s="51" t="str">
        <f t="shared" si="0"/>
        <v/>
      </c>
      <c r="K24" s="51">
        <f t="shared" si="1"/>
        <v>258.77390100680589</v>
      </c>
      <c r="L24" s="106">
        <f t="shared" si="6"/>
        <v>71.489915376936139</v>
      </c>
      <c r="M24" s="106">
        <f t="shared" si="2"/>
        <v>187.28398562986973</v>
      </c>
      <c r="N24" s="51">
        <f t="shared" si="3"/>
        <v>3756.9872075804001</v>
      </c>
      <c r="O24" s="51"/>
      <c r="P24" s="51">
        <f t="shared" si="4"/>
        <v>-258.77390100680589</v>
      </c>
      <c r="Q24" s="41"/>
    </row>
    <row r="25" spans="1:27" s="67" customFormat="1" ht="15" x14ac:dyDescent="0.25">
      <c r="A25" s="41"/>
      <c r="B25" s="41"/>
      <c r="C25" s="58"/>
      <c r="D25" s="55"/>
      <c r="E25" s="46"/>
      <c r="F25" s="46"/>
      <c r="G25" s="46"/>
      <c r="H25" s="50">
        <f t="shared" si="5"/>
        <v>8</v>
      </c>
      <c r="I25" s="50"/>
      <c r="J25" s="51" t="str">
        <f t="shared" si="0"/>
        <v/>
      </c>
      <c r="K25" s="51">
        <f t="shared" si="1"/>
        <v>258.77390100680589</v>
      </c>
      <c r="L25" s="106">
        <f t="shared" si="6"/>
        <v>68.095393137394751</v>
      </c>
      <c r="M25" s="106">
        <f t="shared" si="2"/>
        <v>190.67850786941113</v>
      </c>
      <c r="N25" s="51">
        <f t="shared" si="3"/>
        <v>3566.308699710989</v>
      </c>
      <c r="O25" s="51"/>
      <c r="P25" s="51">
        <f t="shared" si="4"/>
        <v>-258.77390100680589</v>
      </c>
      <c r="Q25" s="41"/>
    </row>
    <row r="26" spans="1:27" s="67" customFormat="1" ht="15" x14ac:dyDescent="0.25">
      <c r="A26" s="41"/>
      <c r="B26" s="41"/>
      <c r="C26" s="96" t="s">
        <v>26</v>
      </c>
      <c r="D26" s="97">
        <v>5000</v>
      </c>
      <c r="E26" s="46"/>
      <c r="F26" s="46"/>
      <c r="G26" s="46"/>
      <c r="H26" s="50">
        <f t="shared" si="5"/>
        <v>9</v>
      </c>
      <c r="I26" s="50"/>
      <c r="J26" s="51" t="str">
        <f t="shared" si="0"/>
        <v/>
      </c>
      <c r="K26" s="51">
        <f t="shared" si="1"/>
        <v>258.77390100680589</v>
      </c>
      <c r="L26" s="106">
        <f t="shared" si="6"/>
        <v>64.639345182261678</v>
      </c>
      <c r="M26" s="106">
        <f t="shared" si="2"/>
        <v>194.13455582454421</v>
      </c>
      <c r="N26" s="51">
        <f t="shared" si="3"/>
        <v>3372.1741438864447</v>
      </c>
      <c r="O26" s="51"/>
      <c r="P26" s="51">
        <f t="shared" si="4"/>
        <v>-258.77390100680589</v>
      </c>
      <c r="Q26" s="41"/>
      <c r="R26" s="41"/>
      <c r="S26" s="41"/>
    </row>
    <row r="27" spans="1:27" ht="15" x14ac:dyDescent="0.25">
      <c r="C27" s="98"/>
      <c r="D27" s="99"/>
      <c r="E27" s="46"/>
      <c r="F27" s="46"/>
      <c r="G27" s="46"/>
      <c r="H27" s="50">
        <f t="shared" si="5"/>
        <v>10</v>
      </c>
      <c r="I27" s="50"/>
      <c r="J27" s="51" t="str">
        <f t="shared" si="0"/>
        <v/>
      </c>
      <c r="K27" s="51">
        <f t="shared" si="1"/>
        <v>258.77390100680589</v>
      </c>
      <c r="L27" s="106">
        <f t="shared" si="6"/>
        <v>61.120656357941812</v>
      </c>
      <c r="M27" s="106">
        <f t="shared" si="2"/>
        <v>197.65324464886407</v>
      </c>
      <c r="N27" s="51">
        <f t="shared" si="3"/>
        <v>3174.5208992375806</v>
      </c>
      <c r="O27" s="51"/>
      <c r="P27" s="51">
        <f t="shared" si="4"/>
        <v>-258.77390100680589</v>
      </c>
      <c r="S27" s="164" t="s">
        <v>87</v>
      </c>
      <c r="T27" s="164"/>
    </row>
    <row r="28" spans="1:27" ht="15" x14ac:dyDescent="0.25">
      <c r="C28" s="100" t="s">
        <v>19</v>
      </c>
      <c r="D28" s="101">
        <v>0.2175</v>
      </c>
      <c r="E28" s="46"/>
      <c r="F28" s="46"/>
      <c r="G28" s="46"/>
      <c r="H28" s="50">
        <f t="shared" si="5"/>
        <v>11</v>
      </c>
      <c r="I28" s="50"/>
      <c r="J28" s="51" t="str">
        <f t="shared" si="0"/>
        <v/>
      </c>
      <c r="K28" s="51">
        <f t="shared" si="1"/>
        <v>258.77390100680589</v>
      </c>
      <c r="L28" s="106">
        <f t="shared" si="6"/>
        <v>57.538191298681149</v>
      </c>
      <c r="M28" s="106">
        <f t="shared" si="2"/>
        <v>201.23570970812474</v>
      </c>
      <c r="N28" s="51">
        <f t="shared" si="3"/>
        <v>2973.2851895294557</v>
      </c>
      <c r="O28" s="51"/>
      <c r="P28" s="51">
        <f t="shared" si="4"/>
        <v>-258.77390100680589</v>
      </c>
      <c r="S28" s="164"/>
      <c r="T28" s="164"/>
    </row>
    <row r="29" spans="1:27" ht="15" x14ac:dyDescent="0.25">
      <c r="C29" s="60"/>
      <c r="D29" s="61"/>
      <c r="E29" s="46"/>
      <c r="F29" s="46"/>
      <c r="G29" s="46"/>
      <c r="H29" s="50">
        <f t="shared" si="5"/>
        <v>12</v>
      </c>
      <c r="I29" s="50"/>
      <c r="J29" s="51" t="str">
        <f t="shared" si="0"/>
        <v/>
      </c>
      <c r="K29" s="51">
        <f t="shared" si="1"/>
        <v>258.77390100680589</v>
      </c>
      <c r="L29" s="106">
        <f t="shared" si="6"/>
        <v>53.890794060221388</v>
      </c>
      <c r="M29" s="106">
        <f t="shared" si="2"/>
        <v>204.88310694658449</v>
      </c>
      <c r="N29" s="51">
        <f t="shared" si="3"/>
        <v>2768.4020825828711</v>
      </c>
      <c r="O29" s="51"/>
      <c r="P29" s="51">
        <f t="shared" si="4"/>
        <v>-258.77390100680589</v>
      </c>
    </row>
    <row r="30" spans="1:27" ht="15" x14ac:dyDescent="0.25">
      <c r="A30" s="62"/>
      <c r="B30" s="62"/>
      <c r="C30" s="59" t="s">
        <v>47</v>
      </c>
      <c r="D30" s="84">
        <v>2</v>
      </c>
      <c r="E30" s="65"/>
      <c r="F30" s="65"/>
      <c r="G30" s="65"/>
      <c r="H30" s="50">
        <f t="shared" si="5"/>
        <v>13</v>
      </c>
      <c r="I30" s="50"/>
      <c r="J30" s="51" t="str">
        <f t="shared" si="0"/>
        <v/>
      </c>
      <c r="K30" s="51">
        <f t="shared" si="1"/>
        <v>258.77390100680589</v>
      </c>
      <c r="L30" s="106">
        <f t="shared" si="6"/>
        <v>50.177287746814535</v>
      </c>
      <c r="M30" s="106">
        <f t="shared" si="2"/>
        <v>208.59661325999136</v>
      </c>
      <c r="N30" s="51">
        <f t="shared" si="3"/>
        <v>2559.8054693228796</v>
      </c>
      <c r="O30" s="51"/>
      <c r="P30" s="51">
        <f t="shared" si="4"/>
        <v>-258.77390100680589</v>
      </c>
      <c r="W30" s="165" t="s">
        <v>88</v>
      </c>
      <c r="X30" s="165"/>
    </row>
    <row r="31" spans="1:27" ht="15.75" thickBot="1" x14ac:dyDescent="0.3">
      <c r="C31" s="60" t="s">
        <v>25</v>
      </c>
      <c r="D31" s="66">
        <f>+D30*360</f>
        <v>720</v>
      </c>
      <c r="E31" s="46"/>
      <c r="F31" s="46"/>
      <c r="G31" s="46"/>
      <c r="H31" s="50">
        <f t="shared" si="5"/>
        <v>14</v>
      </c>
      <c r="I31" s="50"/>
      <c r="J31" s="51" t="str">
        <f t="shared" si="0"/>
        <v/>
      </c>
      <c r="K31" s="51">
        <f t="shared" si="1"/>
        <v>258.77390100680589</v>
      </c>
      <c r="L31" s="106">
        <f t="shared" si="6"/>
        <v>46.396474131477191</v>
      </c>
      <c r="M31" s="106">
        <f t="shared" si="2"/>
        <v>212.37742687532869</v>
      </c>
      <c r="N31" s="51">
        <f t="shared" si="3"/>
        <v>2347.428042447551</v>
      </c>
      <c r="O31" s="51"/>
      <c r="P31" s="51">
        <f t="shared" si="4"/>
        <v>-258.77390100680589</v>
      </c>
      <c r="W31" s="165"/>
      <c r="X31" s="165"/>
    </row>
    <row r="32" spans="1:27" ht="15" customHeight="1" x14ac:dyDescent="0.25">
      <c r="A32" s="67"/>
      <c r="B32" s="67"/>
      <c r="C32" s="60" t="s">
        <v>57</v>
      </c>
      <c r="D32" s="66">
        <f>IF(D23="Anual",360,IF(D23="Semestral",180,IF(D23="Cuatrimestral",120,IF(D23="Trimestral",90,IF(D23="Bimensual",60,IF(D23="Mensual",30,IF(D23="Quincenal",15)))))))</f>
        <v>30</v>
      </c>
      <c r="E32" s="95"/>
      <c r="F32" s="68"/>
      <c r="G32" s="68"/>
      <c r="H32" s="50">
        <f t="shared" si="5"/>
        <v>15</v>
      </c>
      <c r="I32" s="50"/>
      <c r="J32" s="51" t="str">
        <f t="shared" si="0"/>
        <v/>
      </c>
      <c r="K32" s="51">
        <f t="shared" si="1"/>
        <v>258.77390100680589</v>
      </c>
      <c r="L32" s="106">
        <f t="shared" si="6"/>
        <v>42.547133269361858</v>
      </c>
      <c r="M32" s="106">
        <f t="shared" si="2"/>
        <v>216.22676773744402</v>
      </c>
      <c r="N32" s="51">
        <f t="shared" si="3"/>
        <v>2131.2012747101071</v>
      </c>
      <c r="O32" s="51"/>
      <c r="P32" s="51">
        <f t="shared" si="4"/>
        <v>-258.77390100680589</v>
      </c>
      <c r="W32" s="188" t="s">
        <v>11</v>
      </c>
      <c r="X32" s="189"/>
      <c r="Z32" s="179" t="s">
        <v>11</v>
      </c>
      <c r="AA32" s="182">
        <f>IRR(P17:P317,)</f>
        <v>1.9787947017143148E-2</v>
      </c>
    </row>
    <row r="33" spans="1:27" ht="15.75" customHeight="1" x14ac:dyDescent="0.25">
      <c r="A33" s="67"/>
      <c r="B33" s="67"/>
      <c r="C33" s="85" t="s">
        <v>58</v>
      </c>
      <c r="D33" s="86">
        <f>IF(D23="Anual",D30*1,IF(D23="Semestral",D30*2,IF(D23="Cuatrimestral",D30*3,IF(D23="Trimestral",D30*4,IF(D23="Bimensual",D30*6,IF(D23="Mensual",D30*12,IF(D23="Quincenal",D30*24)))))))</f>
        <v>24</v>
      </c>
      <c r="E33" s="68"/>
      <c r="F33" s="68"/>
      <c r="G33" s="68"/>
      <c r="H33" s="50">
        <f t="shared" si="5"/>
        <v>16</v>
      </c>
      <c r="I33" s="50"/>
      <c r="J33" s="51" t="str">
        <f t="shared" si="0"/>
        <v/>
      </c>
      <c r="K33" s="51">
        <f t="shared" si="1"/>
        <v>258.77390100680589</v>
      </c>
      <c r="L33" s="106">
        <f t="shared" si="6"/>
        <v>38.628023104120693</v>
      </c>
      <c r="M33" s="106">
        <f t="shared" si="2"/>
        <v>220.14587790268519</v>
      </c>
      <c r="N33" s="51">
        <f t="shared" si="3"/>
        <v>1911.0553968074219</v>
      </c>
      <c r="O33" s="51"/>
      <c r="P33" s="51">
        <f t="shared" si="4"/>
        <v>-258.77390100680589</v>
      </c>
      <c r="W33" s="166" t="s">
        <v>89</v>
      </c>
      <c r="X33" s="167"/>
      <c r="Z33" s="180"/>
      <c r="AA33" s="183"/>
    </row>
    <row r="34" spans="1:27" ht="15.75" thickBot="1" x14ac:dyDescent="0.3">
      <c r="A34" s="67"/>
      <c r="B34" s="67"/>
      <c r="E34" s="68"/>
      <c r="F34" s="68"/>
      <c r="G34" s="68"/>
      <c r="H34" s="50">
        <f t="shared" si="5"/>
        <v>17</v>
      </c>
      <c r="I34" s="50"/>
      <c r="J34" s="51" t="str">
        <f t="shared" si="0"/>
        <v/>
      </c>
      <c r="K34" s="51">
        <f t="shared" si="1"/>
        <v>258.77390100680589</v>
      </c>
      <c r="L34" s="106">
        <f t="shared" si="6"/>
        <v>34.63787906713452</v>
      </c>
      <c r="M34" s="106">
        <f t="shared" si="2"/>
        <v>224.13602193967137</v>
      </c>
      <c r="N34" s="51">
        <f t="shared" si="3"/>
        <v>1686.9193748677505</v>
      </c>
      <c r="O34" s="51"/>
      <c r="P34" s="51">
        <f t="shared" si="4"/>
        <v>-258.77390100680589</v>
      </c>
      <c r="W34" s="168"/>
      <c r="X34" s="169"/>
      <c r="Z34" s="181"/>
      <c r="AA34" s="184"/>
    </row>
    <row r="35" spans="1:27" ht="15.75" thickBot="1" x14ac:dyDescent="0.3">
      <c r="C35" s="96" t="s">
        <v>109</v>
      </c>
      <c r="D35" s="138">
        <v>0</v>
      </c>
      <c r="E35" s="82"/>
      <c r="F35" s="46"/>
      <c r="G35" s="46"/>
      <c r="H35" s="50">
        <f t="shared" si="5"/>
        <v>18</v>
      </c>
      <c r="I35" s="50"/>
      <c r="J35" s="51" t="str">
        <f t="shared" si="0"/>
        <v/>
      </c>
      <c r="K35" s="51">
        <f t="shared" si="1"/>
        <v>258.77390100680589</v>
      </c>
      <c r="L35" s="106">
        <f t="shared" si="6"/>
        <v>30.575413669477978</v>
      </c>
      <c r="M35" s="106">
        <f t="shared" si="2"/>
        <v>228.19848733732792</v>
      </c>
      <c r="N35" s="51">
        <f t="shared" si="3"/>
        <v>1458.7208875304227</v>
      </c>
      <c r="O35" s="51"/>
      <c r="P35" s="51">
        <f t="shared" si="4"/>
        <v>-258.77390100680589</v>
      </c>
      <c r="AA35" s="128"/>
    </row>
    <row r="36" spans="1:27" ht="15" customHeight="1" x14ac:dyDescent="0.25">
      <c r="C36" s="69"/>
      <c r="D36" s="70"/>
      <c r="F36" s="46"/>
      <c r="G36" s="46"/>
      <c r="H36" s="50">
        <f t="shared" si="5"/>
        <v>19</v>
      </c>
      <c r="I36" s="50"/>
      <c r="J36" s="51" t="str">
        <f t="shared" si="0"/>
        <v/>
      </c>
      <c r="K36" s="51">
        <f t="shared" si="1"/>
        <v>258.77390100680589</v>
      </c>
      <c r="L36" s="106">
        <f t="shared" si="6"/>
        <v>26.439316086488912</v>
      </c>
      <c r="M36" s="106">
        <f t="shared" si="2"/>
        <v>232.33458492031698</v>
      </c>
      <c r="N36" s="51">
        <f t="shared" si="3"/>
        <v>1226.3863026101058</v>
      </c>
      <c r="O36" s="51"/>
      <c r="P36" s="51">
        <f t="shared" si="4"/>
        <v>-258.77390100680589</v>
      </c>
      <c r="W36" s="188" t="s">
        <v>12</v>
      </c>
      <c r="X36" s="189"/>
      <c r="Z36" s="179" t="s">
        <v>12</v>
      </c>
      <c r="AA36" s="182">
        <f>+AA32*360/$D$32</f>
        <v>0.23745536420571778</v>
      </c>
    </row>
    <row r="37" spans="1:27" ht="15" customHeight="1" x14ac:dyDescent="0.25">
      <c r="C37" s="96" t="s">
        <v>110</v>
      </c>
      <c r="D37" s="138">
        <v>0.05</v>
      </c>
      <c r="H37" s="50">
        <f t="shared" si="5"/>
        <v>20</v>
      </c>
      <c r="I37" s="50"/>
      <c r="J37" s="51" t="str">
        <f t="shared" si="0"/>
        <v/>
      </c>
      <c r="K37" s="51">
        <f t="shared" si="1"/>
        <v>258.77390100680589</v>
      </c>
      <c r="L37" s="106">
        <f t="shared" si="6"/>
        <v>22.228251734808168</v>
      </c>
      <c r="M37" s="106">
        <f t="shared" si="2"/>
        <v>236.54564927199772</v>
      </c>
      <c r="N37" s="51">
        <f t="shared" si="3"/>
        <v>989.84065333810804</v>
      </c>
      <c r="O37" s="51"/>
      <c r="P37" s="51">
        <f t="shared" si="4"/>
        <v>-258.77390100680589</v>
      </c>
      <c r="W37" s="166" t="s">
        <v>90</v>
      </c>
      <c r="X37" s="167"/>
      <c r="Z37" s="180"/>
      <c r="AA37" s="183"/>
    </row>
    <row r="38" spans="1:27" ht="15.75" customHeight="1" thickBot="1" x14ac:dyDescent="0.3">
      <c r="H38" s="50">
        <f t="shared" si="5"/>
        <v>21</v>
      </c>
      <c r="I38" s="50"/>
      <c r="J38" s="51" t="str">
        <f t="shared" si="0"/>
        <v/>
      </c>
      <c r="K38" s="51">
        <f t="shared" si="1"/>
        <v>258.77390100680589</v>
      </c>
      <c r="L38" s="106">
        <f t="shared" si="6"/>
        <v>17.940861841753208</v>
      </c>
      <c r="M38" s="106">
        <f t="shared" si="2"/>
        <v>240.83303916505267</v>
      </c>
      <c r="N38" s="51">
        <f t="shared" si="3"/>
        <v>749.00761417305534</v>
      </c>
      <c r="O38" s="51"/>
      <c r="P38" s="51">
        <f t="shared" si="4"/>
        <v>-258.77390100680589</v>
      </c>
      <c r="W38" s="168"/>
      <c r="X38" s="169"/>
      <c r="Z38" s="181"/>
      <c r="AA38" s="184"/>
    </row>
    <row r="39" spans="1:27" ht="18.75" x14ac:dyDescent="0.25">
      <c r="E39" s="46"/>
      <c r="F39" s="46"/>
      <c r="G39" s="46"/>
      <c r="H39" s="50">
        <f t="shared" si="5"/>
        <v>22</v>
      </c>
      <c r="I39" s="50"/>
      <c r="J39" s="51" t="str">
        <f t="shared" si="0"/>
        <v/>
      </c>
      <c r="K39" s="51">
        <f t="shared" si="1"/>
        <v>258.77390100680589</v>
      </c>
      <c r="L39" s="106">
        <f t="shared" si="6"/>
        <v>13.575763006886627</v>
      </c>
      <c r="M39" s="106">
        <f t="shared" si="2"/>
        <v>245.19813799991925</v>
      </c>
      <c r="N39" s="51">
        <f t="shared" si="3"/>
        <v>503.80947617313609</v>
      </c>
      <c r="O39" s="51"/>
      <c r="P39" s="51">
        <f t="shared" si="4"/>
        <v>-258.77390100680589</v>
      </c>
      <c r="W39" s="108"/>
      <c r="X39" s="108"/>
      <c r="Z39" s="107"/>
      <c r="AA39" s="109"/>
    </row>
    <row r="40" spans="1:27" ht="30" customHeight="1" x14ac:dyDescent="0.25">
      <c r="C40" s="88" t="s">
        <v>13</v>
      </c>
      <c r="D40" s="126">
        <f>+AA36</f>
        <v>0.23745536420571778</v>
      </c>
      <c r="E40" s="174" t="str">
        <f>IF(D41&gt;D42,"Excede la Máxima, considerar bajar la tasa nominal", "Esta dentro del límite")</f>
        <v>Esta dentro del límite</v>
      </c>
      <c r="F40" s="175"/>
      <c r="G40" s="46"/>
      <c r="H40" s="50">
        <f t="shared" si="5"/>
        <v>23</v>
      </c>
      <c r="I40" s="50"/>
      <c r="J40" s="51" t="str">
        <f t="shared" si="0"/>
        <v/>
      </c>
      <c r="K40" s="51">
        <f t="shared" si="1"/>
        <v>258.77390100680589</v>
      </c>
      <c r="L40" s="106">
        <f t="shared" si="6"/>
        <v>9.1315467556380927</v>
      </c>
      <c r="M40" s="106">
        <f t="shared" si="2"/>
        <v>249.6423542511678</v>
      </c>
      <c r="N40" s="51">
        <f t="shared" si="3"/>
        <v>254.16712192196829</v>
      </c>
      <c r="O40" s="51"/>
      <c r="P40" s="51">
        <f t="shared" si="4"/>
        <v>-258.77390100680589</v>
      </c>
      <c r="S40" s="151" t="s">
        <v>92</v>
      </c>
      <c r="T40" s="151"/>
      <c r="U40" s="151"/>
      <c r="V40" s="151"/>
      <c r="W40" s="151"/>
      <c r="X40" s="151"/>
      <c r="Y40" s="151"/>
      <c r="Z40" s="151"/>
      <c r="AA40" s="151"/>
    </row>
    <row r="41" spans="1:27" ht="18.75" customHeight="1" thickBot="1" x14ac:dyDescent="0.3">
      <c r="C41" s="89" t="s">
        <v>14</v>
      </c>
      <c r="D41" s="127">
        <f>+V65</f>
        <v>0.26508147500148804</v>
      </c>
      <c r="E41" s="176"/>
      <c r="F41" s="177"/>
      <c r="G41" s="71"/>
      <c r="H41" s="50">
        <f t="shared" si="5"/>
        <v>24</v>
      </c>
      <c r="I41" s="50"/>
      <c r="J41" s="51">
        <f t="shared" si="0"/>
        <v>250</v>
      </c>
      <c r="K41" s="51">
        <f t="shared" si="1"/>
        <v>258.77390100680589</v>
      </c>
      <c r="L41" s="106">
        <f t="shared" si="6"/>
        <v>4.6067790848356749</v>
      </c>
      <c r="M41" s="106">
        <f t="shared" si="2"/>
        <v>254.16712192197022</v>
      </c>
      <c r="N41" s="51">
        <f t="shared" si="3"/>
        <v>-1.9326762412674725E-12</v>
      </c>
      <c r="O41" s="51"/>
      <c r="P41" s="51">
        <f t="shared" si="4"/>
        <v>-8.773901006805886</v>
      </c>
      <c r="S41" s="152"/>
      <c r="T41" s="152"/>
      <c r="U41" s="152"/>
      <c r="V41" s="152"/>
      <c r="W41" s="152"/>
      <c r="X41" s="152"/>
      <c r="Y41" s="152"/>
      <c r="Z41" s="152"/>
      <c r="AA41" s="152"/>
    </row>
    <row r="42" spans="1:27" ht="30.75" thickBot="1" x14ac:dyDescent="0.3">
      <c r="C42" s="72" t="s">
        <v>55</v>
      </c>
      <c r="D42" s="73">
        <f>IF(D19="Productivo Corporativo",9.33%,IF(D19="Productivo Empresarial",10.21%,IF(D19="Productivo PYMES",11.83%,IF(D19="Comercial Ordinario",11.83%,IF(D19="Comercial Prioritario Corporativo",9.33%,IF(D19="Comercial Prioritario Empresarial",10.21%,IF(D19="Comercial Prioritario PYMES",11.83%,IF(D19="Consumo Ordinario",17.3%,IF(D19="Consumo Prioritario",17.3%,IF(D19="Educativo",9.5%,IF(D19="Vivienda de Interés Público",4.99%,IF(D19="Inmobiliario",11.33%,IF(D19="Microcrédito Minorista",30.5%,IF(D19="Microcrédito Acumulación Simple",27.5%,IF(D19="Microcrédito Acumulación Ampliada",25.5%)))))))))))))))</f>
        <v>0.27500000000000002</v>
      </c>
      <c r="E42" s="46"/>
      <c r="F42" s="46"/>
      <c r="G42" s="46"/>
      <c r="H42" s="50" t="str">
        <f t="shared" si="5"/>
        <v xml:space="preserve"> </v>
      </c>
      <c r="I42" s="50"/>
      <c r="J42" s="51" t="str">
        <f t="shared" si="0"/>
        <v/>
      </c>
      <c r="K42" s="51">
        <f t="shared" si="1"/>
        <v>0</v>
      </c>
      <c r="L42" s="106" t="str">
        <f t="shared" si="6"/>
        <v xml:space="preserve"> </v>
      </c>
      <c r="M42" s="106" t="str">
        <f t="shared" si="2"/>
        <v xml:space="preserve"> </v>
      </c>
      <c r="N42" s="51" t="str">
        <f t="shared" si="3"/>
        <v xml:space="preserve"> </v>
      </c>
      <c r="O42" s="51"/>
      <c r="P42" s="51" t="str">
        <f t="shared" si="4"/>
        <v xml:space="preserve"> </v>
      </c>
      <c r="W42" s="108"/>
      <c r="X42" s="108"/>
      <c r="Z42" s="107"/>
      <c r="AA42" s="109"/>
    </row>
    <row r="43" spans="1:27" ht="18.75" x14ac:dyDescent="0.25">
      <c r="C43" s="74" t="s">
        <v>37</v>
      </c>
      <c r="D43" s="46"/>
      <c r="E43" s="46"/>
      <c r="F43" s="46"/>
      <c r="G43" s="87"/>
      <c r="H43" s="50" t="str">
        <f t="shared" si="5"/>
        <v xml:space="preserve"> </v>
      </c>
      <c r="I43" s="50"/>
      <c r="J43" s="51" t="str">
        <f t="shared" si="0"/>
        <v/>
      </c>
      <c r="K43" s="51" t="str">
        <f t="shared" si="1"/>
        <v/>
      </c>
      <c r="L43" s="106" t="str">
        <f t="shared" si="6"/>
        <v xml:space="preserve"> </v>
      </c>
      <c r="M43" s="106" t="str">
        <f t="shared" si="2"/>
        <v xml:space="preserve"> </v>
      </c>
      <c r="N43" s="51" t="str">
        <f t="shared" si="3"/>
        <v xml:space="preserve"> </v>
      </c>
      <c r="O43" s="51"/>
      <c r="P43" s="51" t="str">
        <f t="shared" si="4"/>
        <v xml:space="preserve"> </v>
      </c>
      <c r="S43" s="163" t="s">
        <v>93</v>
      </c>
      <c r="T43" s="163"/>
      <c r="U43" s="163"/>
      <c r="W43" s="108"/>
      <c r="X43" s="108"/>
      <c r="Z43" s="107"/>
      <c r="AA43" s="109"/>
    </row>
    <row r="44" spans="1:27" ht="18.75" x14ac:dyDescent="0.25">
      <c r="G44" s="46"/>
      <c r="H44" s="50" t="str">
        <f t="shared" si="5"/>
        <v xml:space="preserve"> </v>
      </c>
      <c r="I44" s="50"/>
      <c r="J44" s="51" t="str">
        <f t="shared" si="0"/>
        <v/>
      </c>
      <c r="K44" s="51" t="str">
        <f t="shared" si="1"/>
        <v/>
      </c>
      <c r="L44" s="106" t="str">
        <f t="shared" si="6"/>
        <v xml:space="preserve"> </v>
      </c>
      <c r="M44" s="106" t="str">
        <f t="shared" si="2"/>
        <v xml:space="preserve"> </v>
      </c>
      <c r="N44" s="51" t="str">
        <f t="shared" si="3"/>
        <v xml:space="preserve"> </v>
      </c>
      <c r="O44" s="51"/>
      <c r="P44" s="51" t="str">
        <f t="shared" si="4"/>
        <v xml:space="preserve"> </v>
      </c>
      <c r="S44" s="163"/>
      <c r="T44" s="163"/>
      <c r="U44" s="163"/>
      <c r="W44" s="108"/>
      <c r="X44" s="108"/>
      <c r="Z44" s="107"/>
      <c r="AA44" s="109"/>
    </row>
    <row r="45" spans="1:27" ht="18.75" x14ac:dyDescent="0.25">
      <c r="G45" s="46"/>
      <c r="H45" s="50" t="str">
        <f t="shared" si="5"/>
        <v xml:space="preserve"> </v>
      </c>
      <c r="I45" s="50"/>
      <c r="J45" s="51" t="str">
        <f t="shared" si="0"/>
        <v/>
      </c>
      <c r="K45" s="51" t="str">
        <f t="shared" si="1"/>
        <v/>
      </c>
      <c r="L45" s="106" t="str">
        <f t="shared" si="6"/>
        <v xml:space="preserve"> </v>
      </c>
      <c r="M45" s="106" t="str">
        <f t="shared" si="2"/>
        <v xml:space="preserve"> </v>
      </c>
      <c r="N45" s="51" t="str">
        <f t="shared" si="3"/>
        <v xml:space="preserve"> </v>
      </c>
      <c r="O45" s="51"/>
      <c r="P45" s="51" t="str">
        <f t="shared" si="4"/>
        <v xml:space="preserve"> </v>
      </c>
      <c r="W45" s="108"/>
      <c r="X45" s="108"/>
      <c r="Z45" s="107"/>
      <c r="AA45" s="109"/>
    </row>
    <row r="46" spans="1:27" ht="18.75" x14ac:dyDescent="0.25">
      <c r="C46" s="93"/>
      <c r="G46" s="46"/>
      <c r="H46" s="50" t="str">
        <f t="shared" si="5"/>
        <v xml:space="preserve"> </v>
      </c>
      <c r="I46" s="50"/>
      <c r="J46" s="51" t="str">
        <f t="shared" si="0"/>
        <v/>
      </c>
      <c r="K46" s="51" t="str">
        <f t="shared" si="1"/>
        <v/>
      </c>
      <c r="L46" s="106" t="str">
        <f t="shared" si="6"/>
        <v xml:space="preserve"> </v>
      </c>
      <c r="M46" s="106" t="str">
        <f t="shared" si="2"/>
        <v xml:space="preserve"> </v>
      </c>
      <c r="N46" s="51" t="str">
        <f t="shared" si="3"/>
        <v xml:space="preserve"> </v>
      </c>
      <c r="O46" s="51"/>
      <c r="P46" s="51" t="str">
        <f t="shared" si="4"/>
        <v xml:space="preserve"> </v>
      </c>
      <c r="W46" s="108"/>
      <c r="X46" s="108"/>
      <c r="Z46" s="107"/>
      <c r="AA46" s="109"/>
    </row>
    <row r="47" spans="1:27" ht="18.75" x14ac:dyDescent="0.25">
      <c r="B47" s="75"/>
      <c r="C47" s="92"/>
      <c r="D47" s="77"/>
      <c r="E47" s="76"/>
      <c r="F47" s="46"/>
      <c r="G47" s="46"/>
      <c r="H47" s="50" t="str">
        <f t="shared" si="5"/>
        <v xml:space="preserve"> </v>
      </c>
      <c r="I47" s="50"/>
      <c r="J47" s="51" t="str">
        <f t="shared" si="0"/>
        <v/>
      </c>
      <c r="K47" s="51" t="str">
        <f t="shared" si="1"/>
        <v/>
      </c>
      <c r="L47" s="106" t="str">
        <f t="shared" si="6"/>
        <v xml:space="preserve"> </v>
      </c>
      <c r="M47" s="106" t="str">
        <f t="shared" si="2"/>
        <v xml:space="preserve"> </v>
      </c>
      <c r="N47" s="51" t="str">
        <f t="shared" si="3"/>
        <v xml:space="preserve"> </v>
      </c>
      <c r="O47" s="51"/>
      <c r="P47" s="51" t="str">
        <f t="shared" si="4"/>
        <v xml:space="preserve"> </v>
      </c>
      <c r="W47" s="108"/>
      <c r="X47" s="108"/>
      <c r="Z47" s="107"/>
      <c r="AA47" s="109"/>
    </row>
    <row r="48" spans="1:27" ht="18.75" x14ac:dyDescent="0.25">
      <c r="B48" s="75"/>
      <c r="C48" s="92" t="s">
        <v>49</v>
      </c>
      <c r="D48" s="76"/>
      <c r="E48" s="76"/>
      <c r="F48" s="46"/>
      <c r="G48" s="46"/>
      <c r="H48" s="50" t="str">
        <f t="shared" si="5"/>
        <v xml:space="preserve"> </v>
      </c>
      <c r="I48" s="50"/>
      <c r="J48" s="51" t="str">
        <f t="shared" si="0"/>
        <v/>
      </c>
      <c r="K48" s="51" t="str">
        <f t="shared" si="1"/>
        <v/>
      </c>
      <c r="L48" s="106" t="str">
        <f t="shared" si="6"/>
        <v xml:space="preserve"> </v>
      </c>
      <c r="M48" s="106" t="str">
        <f t="shared" si="2"/>
        <v xml:space="preserve"> </v>
      </c>
      <c r="N48" s="51" t="str">
        <f t="shared" si="3"/>
        <v xml:space="preserve"> </v>
      </c>
      <c r="O48" s="51"/>
      <c r="P48" s="51" t="str">
        <f t="shared" si="4"/>
        <v xml:space="preserve"> </v>
      </c>
      <c r="W48" s="108"/>
      <c r="X48" s="108"/>
      <c r="Z48" s="107"/>
      <c r="AA48" s="109"/>
    </row>
    <row r="49" spans="2:27" ht="18.75" x14ac:dyDescent="0.25">
      <c r="B49" s="75"/>
      <c r="C49" s="92" t="s">
        <v>50</v>
      </c>
      <c r="D49" s="76"/>
      <c r="E49" s="76"/>
      <c r="F49" s="46"/>
      <c r="G49" s="46"/>
      <c r="H49" s="50" t="str">
        <f t="shared" si="5"/>
        <v xml:space="preserve"> </v>
      </c>
      <c r="I49" s="50"/>
      <c r="J49" s="51" t="str">
        <f t="shared" si="0"/>
        <v/>
      </c>
      <c r="K49" s="51" t="str">
        <f t="shared" si="1"/>
        <v/>
      </c>
      <c r="L49" s="106" t="str">
        <f t="shared" si="6"/>
        <v xml:space="preserve"> </v>
      </c>
      <c r="M49" s="106" t="str">
        <f t="shared" si="2"/>
        <v xml:space="preserve"> </v>
      </c>
      <c r="N49" s="51" t="str">
        <f t="shared" si="3"/>
        <v xml:space="preserve"> </v>
      </c>
      <c r="O49" s="51"/>
      <c r="P49" s="51" t="str">
        <f t="shared" si="4"/>
        <v xml:space="preserve"> </v>
      </c>
      <c r="S49" s="164" t="s">
        <v>87</v>
      </c>
      <c r="T49" s="164"/>
      <c r="W49" s="108"/>
      <c r="X49" s="108"/>
      <c r="Z49" s="107"/>
      <c r="AA49" s="109"/>
    </row>
    <row r="50" spans="2:27" ht="18.75" x14ac:dyDescent="0.25">
      <c r="B50" s="75"/>
      <c r="C50" s="92" t="s">
        <v>54</v>
      </c>
      <c r="D50" s="76"/>
      <c r="E50" s="76"/>
      <c r="F50" s="46"/>
      <c r="G50" s="46"/>
      <c r="H50" s="50" t="str">
        <f t="shared" si="5"/>
        <v xml:space="preserve"> </v>
      </c>
      <c r="I50" s="50"/>
      <c r="J50" s="51" t="str">
        <f t="shared" si="0"/>
        <v/>
      </c>
      <c r="K50" s="51" t="str">
        <f t="shared" si="1"/>
        <v/>
      </c>
      <c r="L50" s="106" t="str">
        <f t="shared" si="6"/>
        <v xml:space="preserve"> </v>
      </c>
      <c r="M50" s="106" t="str">
        <f t="shared" si="2"/>
        <v xml:space="preserve"> </v>
      </c>
      <c r="N50" s="51" t="str">
        <f t="shared" si="3"/>
        <v xml:space="preserve"> </v>
      </c>
      <c r="O50" s="51"/>
      <c r="P50" s="51" t="str">
        <f t="shared" si="4"/>
        <v xml:space="preserve"> </v>
      </c>
      <c r="S50" s="164"/>
      <c r="T50" s="164"/>
      <c r="W50" s="108"/>
      <c r="X50" s="108"/>
      <c r="Z50" s="107"/>
      <c r="AA50" s="109"/>
    </row>
    <row r="51" spans="2:27" ht="18.75" x14ac:dyDescent="0.25">
      <c r="B51" s="75"/>
      <c r="C51" s="92" t="s">
        <v>66</v>
      </c>
      <c r="D51" s="76"/>
      <c r="E51" s="76"/>
      <c r="F51" s="46"/>
      <c r="G51" s="46"/>
      <c r="H51" s="50" t="str">
        <f t="shared" si="5"/>
        <v xml:space="preserve"> </v>
      </c>
      <c r="I51" s="50"/>
      <c r="J51" s="51" t="str">
        <f t="shared" si="0"/>
        <v/>
      </c>
      <c r="K51" s="51" t="str">
        <f t="shared" si="1"/>
        <v/>
      </c>
      <c r="L51" s="106" t="str">
        <f t="shared" si="6"/>
        <v xml:space="preserve"> </v>
      </c>
      <c r="M51" s="106" t="str">
        <f t="shared" si="2"/>
        <v xml:space="preserve"> </v>
      </c>
      <c r="N51" s="51" t="str">
        <f t="shared" si="3"/>
        <v xml:space="preserve"> </v>
      </c>
      <c r="O51" s="51"/>
      <c r="P51" s="51" t="str">
        <f t="shared" si="4"/>
        <v xml:space="preserve"> </v>
      </c>
      <c r="W51" s="108"/>
      <c r="X51" s="108"/>
      <c r="Z51" s="107"/>
      <c r="AA51" s="109"/>
    </row>
    <row r="52" spans="2:27" ht="18.75" x14ac:dyDescent="0.25">
      <c r="B52" s="75"/>
      <c r="C52" s="92" t="s">
        <v>67</v>
      </c>
      <c r="D52" s="76"/>
      <c r="E52" s="76"/>
      <c r="F52" s="46"/>
      <c r="G52" s="46"/>
      <c r="H52" s="50" t="str">
        <f t="shared" si="5"/>
        <v xml:space="preserve"> </v>
      </c>
      <c r="I52" s="50"/>
      <c r="J52" s="51" t="str">
        <f t="shared" si="0"/>
        <v/>
      </c>
      <c r="K52" s="51" t="str">
        <f t="shared" si="1"/>
        <v/>
      </c>
      <c r="L52" s="106" t="str">
        <f t="shared" si="6"/>
        <v xml:space="preserve"> </v>
      </c>
      <c r="M52" s="106" t="str">
        <f t="shared" si="2"/>
        <v xml:space="preserve"> </v>
      </c>
      <c r="N52" s="51" t="str">
        <f t="shared" si="3"/>
        <v xml:space="preserve"> </v>
      </c>
      <c r="O52" s="51"/>
      <c r="P52" s="51" t="str">
        <f t="shared" si="4"/>
        <v xml:space="preserve"> </v>
      </c>
      <c r="W52" s="108"/>
      <c r="X52" s="108"/>
      <c r="Z52" s="107"/>
      <c r="AA52" s="109"/>
    </row>
    <row r="53" spans="2:27" ht="15" x14ac:dyDescent="0.25">
      <c r="B53" s="75"/>
      <c r="C53" s="92" t="s">
        <v>68</v>
      </c>
      <c r="D53" s="76"/>
      <c r="E53" s="76"/>
      <c r="F53" s="46"/>
      <c r="G53" s="46"/>
      <c r="H53" s="50" t="str">
        <f t="shared" si="5"/>
        <v xml:space="preserve"> </v>
      </c>
      <c r="I53" s="50"/>
      <c r="J53" s="51" t="str">
        <f t="shared" si="0"/>
        <v/>
      </c>
      <c r="K53" s="51" t="str">
        <f t="shared" si="1"/>
        <v/>
      </c>
      <c r="L53" s="106" t="str">
        <f t="shared" si="6"/>
        <v xml:space="preserve"> </v>
      </c>
      <c r="M53" s="106" t="str">
        <f t="shared" si="2"/>
        <v xml:space="preserve"> </v>
      </c>
      <c r="N53" s="51" t="str">
        <f t="shared" si="3"/>
        <v xml:space="preserve"> </v>
      </c>
      <c r="O53" s="51"/>
      <c r="P53" s="51" t="str">
        <f t="shared" si="4"/>
        <v xml:space="preserve"> </v>
      </c>
    </row>
    <row r="54" spans="2:27" ht="28.5" x14ac:dyDescent="0.25">
      <c r="B54" s="75"/>
      <c r="C54" s="92" t="s">
        <v>69</v>
      </c>
      <c r="D54" s="76"/>
      <c r="E54" s="76"/>
      <c r="F54" s="46"/>
      <c r="G54" s="46"/>
      <c r="H54" s="50" t="str">
        <f t="shared" si="5"/>
        <v xml:space="preserve"> </v>
      </c>
      <c r="I54" s="50"/>
      <c r="J54" s="51" t="str">
        <f t="shared" si="0"/>
        <v/>
      </c>
      <c r="K54" s="51" t="str">
        <f t="shared" si="1"/>
        <v/>
      </c>
      <c r="L54" s="106" t="str">
        <f t="shared" si="6"/>
        <v xml:space="preserve"> </v>
      </c>
      <c r="M54" s="106" t="str">
        <f t="shared" si="2"/>
        <v xml:space="preserve"> </v>
      </c>
      <c r="N54" s="51" t="str">
        <f t="shared" si="3"/>
        <v xml:space="preserve"> </v>
      </c>
      <c r="O54" s="51"/>
      <c r="P54" s="51" t="str">
        <f t="shared" si="4"/>
        <v xml:space="preserve"> </v>
      </c>
      <c r="T54" s="112"/>
      <c r="U54" s="113"/>
      <c r="V54" s="113"/>
      <c r="W54" s="113"/>
      <c r="X54" s="114"/>
      <c r="Y54" s="115">
        <v>360</v>
      </c>
      <c r="Z54" s="116"/>
    </row>
    <row r="55" spans="2:27" ht="15" x14ac:dyDescent="0.25">
      <c r="B55" s="75"/>
      <c r="C55" s="92" t="s">
        <v>70</v>
      </c>
      <c r="D55" s="76"/>
      <c r="E55" s="76"/>
      <c r="F55" s="46"/>
      <c r="G55" s="46"/>
      <c r="H55" s="50" t="str">
        <f t="shared" si="5"/>
        <v xml:space="preserve"> </v>
      </c>
      <c r="I55" s="50"/>
      <c r="J55" s="51" t="str">
        <f t="shared" si="0"/>
        <v/>
      </c>
      <c r="K55" s="51" t="str">
        <f t="shared" si="1"/>
        <v/>
      </c>
      <c r="L55" s="106" t="str">
        <f t="shared" si="6"/>
        <v xml:space="preserve"> </v>
      </c>
      <c r="M55" s="106" t="str">
        <f t="shared" si="2"/>
        <v xml:space="preserve"> </v>
      </c>
      <c r="N55" s="51" t="str">
        <f t="shared" si="3"/>
        <v xml:space="preserve"> </v>
      </c>
      <c r="O55" s="51"/>
      <c r="P55" s="51" t="str">
        <f t="shared" si="4"/>
        <v xml:space="preserve"> </v>
      </c>
      <c r="T55" s="117"/>
      <c r="U55" s="118"/>
      <c r="V55" s="118"/>
      <c r="W55" s="118"/>
      <c r="X55" s="118"/>
      <c r="Y55" s="119">
        <f>+X57</f>
        <v>30</v>
      </c>
      <c r="Z55" s="120"/>
    </row>
    <row r="56" spans="2:27" ht="15.75" x14ac:dyDescent="0.25">
      <c r="B56" s="75"/>
      <c r="C56" s="92" t="s">
        <v>71</v>
      </c>
      <c r="D56" s="76"/>
      <c r="E56" s="76"/>
      <c r="F56" s="46"/>
      <c r="G56" s="46"/>
      <c r="H56" s="50" t="str">
        <f t="shared" si="5"/>
        <v xml:space="preserve"> </v>
      </c>
      <c r="I56" s="50"/>
      <c r="J56" s="51" t="str">
        <f t="shared" si="0"/>
        <v/>
      </c>
      <c r="K56" s="51" t="str">
        <f t="shared" si="1"/>
        <v/>
      </c>
      <c r="L56" s="106" t="str">
        <f t="shared" si="6"/>
        <v xml:space="preserve"> </v>
      </c>
      <c r="M56" s="106" t="str">
        <f t="shared" si="2"/>
        <v xml:space="preserve"> </v>
      </c>
      <c r="N56" s="51" t="str">
        <f t="shared" si="3"/>
        <v xml:space="preserve"> </v>
      </c>
      <c r="O56" s="51"/>
      <c r="P56" s="51" t="str">
        <f t="shared" si="4"/>
        <v xml:space="preserve"> </v>
      </c>
      <c r="T56" s="117"/>
      <c r="U56" s="118"/>
      <c r="V56" s="118"/>
      <c r="W56" s="118"/>
      <c r="X56" s="121"/>
      <c r="Y56" s="118"/>
      <c r="Z56" s="120"/>
    </row>
    <row r="57" spans="2:27" ht="28.5" x14ac:dyDescent="0.45">
      <c r="B57" s="75"/>
      <c r="C57" s="92" t="s">
        <v>72</v>
      </c>
      <c r="D57" s="76"/>
      <c r="E57" s="76"/>
      <c r="F57" s="46"/>
      <c r="G57" s="46"/>
      <c r="H57" s="50" t="str">
        <f t="shared" si="5"/>
        <v xml:space="preserve"> </v>
      </c>
      <c r="I57" s="50"/>
      <c r="J57" s="51" t="str">
        <f t="shared" si="0"/>
        <v/>
      </c>
      <c r="K57" s="51" t="str">
        <f t="shared" si="1"/>
        <v/>
      </c>
      <c r="L57" s="106" t="str">
        <f t="shared" si="6"/>
        <v xml:space="preserve"> </v>
      </c>
      <c r="M57" s="106" t="str">
        <f t="shared" si="2"/>
        <v xml:space="preserve"> </v>
      </c>
      <c r="N57" s="51" t="str">
        <f t="shared" si="3"/>
        <v xml:space="preserve"> </v>
      </c>
      <c r="O57" s="51"/>
      <c r="P57" s="51" t="str">
        <f t="shared" si="4"/>
        <v xml:space="preserve"> </v>
      </c>
      <c r="T57" s="117"/>
      <c r="U57" s="118"/>
      <c r="V57" s="190">
        <v>1</v>
      </c>
      <c r="W57" s="191">
        <f>+AA36</f>
        <v>0.23745536420571778</v>
      </c>
      <c r="X57" s="122">
        <f>+$D$32</f>
        <v>30</v>
      </c>
      <c r="Y57" s="118"/>
      <c r="Z57" s="192">
        <v>1</v>
      </c>
    </row>
    <row r="58" spans="2:27" ht="28.5" x14ac:dyDescent="0.45">
      <c r="B58" s="75"/>
      <c r="C58" s="92" t="s">
        <v>73</v>
      </c>
      <c r="D58" s="76"/>
      <c r="E58" s="76"/>
      <c r="F58" s="46"/>
      <c r="G58" s="46"/>
      <c r="H58" s="50" t="str">
        <f t="shared" si="5"/>
        <v xml:space="preserve"> </v>
      </c>
      <c r="I58" s="50"/>
      <c r="J58" s="51" t="str">
        <f t="shared" si="0"/>
        <v/>
      </c>
      <c r="K58" s="51" t="str">
        <f t="shared" si="1"/>
        <v/>
      </c>
      <c r="L58" s="106" t="str">
        <f t="shared" si="6"/>
        <v xml:space="preserve"> </v>
      </c>
      <c r="M58" s="106" t="str">
        <f t="shared" si="2"/>
        <v xml:space="preserve"> </v>
      </c>
      <c r="N58" s="51" t="str">
        <f t="shared" si="3"/>
        <v xml:space="preserve"> </v>
      </c>
      <c r="O58" s="51"/>
      <c r="P58" s="51" t="str">
        <f t="shared" si="4"/>
        <v xml:space="preserve"> </v>
      </c>
      <c r="T58" s="117"/>
      <c r="U58" s="118"/>
      <c r="V58" s="190"/>
      <c r="W58" s="191"/>
      <c r="X58" s="122">
        <v>360</v>
      </c>
      <c r="Y58" s="110"/>
      <c r="Z58" s="192"/>
    </row>
    <row r="59" spans="2:27" ht="15" x14ac:dyDescent="0.25">
      <c r="B59" s="75"/>
      <c r="C59" s="92" t="s">
        <v>74</v>
      </c>
      <c r="D59" s="76"/>
      <c r="E59" s="76"/>
      <c r="F59" s="46"/>
      <c r="G59" s="46"/>
      <c r="H59" s="50" t="str">
        <f t="shared" si="5"/>
        <v xml:space="preserve"> </v>
      </c>
      <c r="I59" s="50"/>
      <c r="J59" s="51" t="str">
        <f t="shared" si="0"/>
        <v/>
      </c>
      <c r="K59" s="51" t="str">
        <f t="shared" si="1"/>
        <v/>
      </c>
      <c r="L59" s="106" t="str">
        <f t="shared" si="6"/>
        <v xml:space="preserve"> </v>
      </c>
      <c r="M59" s="106" t="str">
        <f t="shared" si="2"/>
        <v xml:space="preserve"> </v>
      </c>
      <c r="N59" s="51" t="str">
        <f t="shared" si="3"/>
        <v xml:space="preserve"> </v>
      </c>
      <c r="O59" s="51"/>
      <c r="P59" s="51" t="str">
        <f t="shared" si="4"/>
        <v xml:space="preserve"> </v>
      </c>
      <c r="T59" s="117"/>
      <c r="U59" s="118"/>
      <c r="V59" s="118"/>
      <c r="W59" s="118"/>
      <c r="X59" s="118"/>
      <c r="Y59" s="118"/>
      <c r="Z59" s="120"/>
    </row>
    <row r="60" spans="2:27" ht="15" x14ac:dyDescent="0.25">
      <c r="B60" s="75"/>
      <c r="C60" s="92" t="s">
        <v>51</v>
      </c>
      <c r="D60" s="76"/>
      <c r="E60" s="75"/>
      <c r="H60" s="50" t="str">
        <f t="shared" si="5"/>
        <v xml:space="preserve"> </v>
      </c>
      <c r="I60" s="50"/>
      <c r="J60" s="51" t="str">
        <f t="shared" si="0"/>
        <v/>
      </c>
      <c r="K60" s="51" t="str">
        <f t="shared" si="1"/>
        <v/>
      </c>
      <c r="L60" s="106" t="str">
        <f t="shared" si="6"/>
        <v xml:space="preserve"> </v>
      </c>
      <c r="M60" s="106" t="str">
        <f t="shared" si="2"/>
        <v xml:space="preserve"> </v>
      </c>
      <c r="N60" s="51" t="str">
        <f t="shared" si="3"/>
        <v xml:space="preserve"> </v>
      </c>
      <c r="O60" s="51"/>
      <c r="P60" s="51" t="str">
        <f t="shared" si="4"/>
        <v xml:space="preserve"> </v>
      </c>
      <c r="T60" s="117"/>
      <c r="U60" s="118"/>
      <c r="V60" s="118"/>
      <c r="W60" s="118"/>
      <c r="X60" s="118"/>
      <c r="Y60" s="118"/>
      <c r="Z60" s="120"/>
    </row>
    <row r="61" spans="2:27" ht="15" x14ac:dyDescent="0.25">
      <c r="B61" s="75"/>
      <c r="C61" s="92" t="s">
        <v>52</v>
      </c>
      <c r="D61" s="76"/>
      <c r="E61" s="75"/>
      <c r="H61" s="50" t="str">
        <f t="shared" si="5"/>
        <v xml:space="preserve"> </v>
      </c>
      <c r="I61" s="50"/>
      <c r="J61" s="51" t="str">
        <f t="shared" si="0"/>
        <v/>
      </c>
      <c r="K61" s="51" t="str">
        <f t="shared" si="1"/>
        <v/>
      </c>
      <c r="L61" s="106" t="str">
        <f t="shared" si="6"/>
        <v xml:space="preserve"> </v>
      </c>
      <c r="M61" s="106" t="str">
        <f t="shared" si="2"/>
        <v xml:space="preserve"> </v>
      </c>
      <c r="N61" s="51" t="str">
        <f t="shared" si="3"/>
        <v xml:space="preserve"> </v>
      </c>
      <c r="O61" s="51"/>
      <c r="P61" s="51" t="str">
        <f t="shared" si="4"/>
        <v xml:space="preserve"> </v>
      </c>
      <c r="T61" s="123"/>
      <c r="U61" s="124"/>
      <c r="V61" s="124"/>
      <c r="W61" s="124"/>
      <c r="X61" s="124"/>
      <c r="Y61" s="124"/>
      <c r="Z61" s="125"/>
    </row>
    <row r="62" spans="2:27" ht="15" x14ac:dyDescent="0.25">
      <c r="B62" s="75"/>
      <c r="C62" s="92" t="s">
        <v>53</v>
      </c>
      <c r="D62" s="76"/>
      <c r="E62" s="75"/>
      <c r="H62" s="50" t="str">
        <f t="shared" si="5"/>
        <v xml:space="preserve"> </v>
      </c>
      <c r="I62" s="50"/>
      <c r="J62" s="51" t="str">
        <f t="shared" si="0"/>
        <v/>
      </c>
      <c r="K62" s="51" t="str">
        <f t="shared" si="1"/>
        <v/>
      </c>
      <c r="L62" s="106" t="str">
        <f t="shared" si="6"/>
        <v xml:space="preserve"> </v>
      </c>
      <c r="M62" s="106" t="str">
        <f t="shared" si="2"/>
        <v xml:space="preserve"> </v>
      </c>
      <c r="N62" s="51" t="str">
        <f t="shared" si="3"/>
        <v xml:space="preserve"> </v>
      </c>
      <c r="O62" s="51"/>
      <c r="P62" s="51" t="str">
        <f t="shared" si="4"/>
        <v xml:space="preserve"> </v>
      </c>
    </row>
    <row r="63" spans="2:27" ht="28.5" x14ac:dyDescent="0.45">
      <c r="B63" s="75"/>
      <c r="C63" s="93"/>
      <c r="D63" s="75"/>
      <c r="E63" s="75"/>
      <c r="H63" s="50" t="str">
        <f t="shared" si="5"/>
        <v xml:space="preserve"> </v>
      </c>
      <c r="I63" s="50"/>
      <c r="J63" s="51" t="str">
        <f t="shared" si="0"/>
        <v/>
      </c>
      <c r="K63" s="51" t="str">
        <f t="shared" si="1"/>
        <v/>
      </c>
      <c r="L63" s="106" t="str">
        <f t="shared" si="6"/>
        <v xml:space="preserve"> </v>
      </c>
      <c r="M63" s="106" t="str">
        <f t="shared" si="2"/>
        <v xml:space="preserve"> </v>
      </c>
      <c r="N63" s="51" t="str">
        <f t="shared" si="3"/>
        <v xml:space="preserve"> </v>
      </c>
      <c r="O63" s="51"/>
      <c r="P63" s="51" t="str">
        <f t="shared" si="4"/>
        <v xml:space="preserve"> </v>
      </c>
      <c r="U63" s="78"/>
    </row>
    <row r="64" spans="2:27" ht="15.75" thickBot="1" x14ac:dyDescent="0.3">
      <c r="B64" s="75"/>
      <c r="C64" s="93" t="s">
        <v>76</v>
      </c>
      <c r="D64" s="75"/>
      <c r="E64" s="75"/>
      <c r="H64" s="50" t="str">
        <f t="shared" si="5"/>
        <v xml:space="preserve"> </v>
      </c>
      <c r="I64" s="50"/>
      <c r="J64" s="51" t="str">
        <f t="shared" si="0"/>
        <v/>
      </c>
      <c r="K64" s="51" t="str">
        <f t="shared" si="1"/>
        <v/>
      </c>
      <c r="L64" s="106" t="str">
        <f t="shared" si="6"/>
        <v xml:space="preserve"> </v>
      </c>
      <c r="M64" s="106" t="str">
        <f t="shared" si="2"/>
        <v xml:space="preserve"> </v>
      </c>
      <c r="N64" s="51" t="str">
        <f t="shared" si="3"/>
        <v xml:space="preserve"> </v>
      </c>
      <c r="O64" s="51"/>
      <c r="P64" s="51" t="str">
        <f t="shared" si="4"/>
        <v xml:space="preserve"> </v>
      </c>
    </row>
    <row r="65" spans="2:24" ht="28.5" customHeight="1" x14ac:dyDescent="0.25">
      <c r="B65" s="75"/>
      <c r="C65" s="93" t="s">
        <v>63</v>
      </c>
      <c r="D65" s="75"/>
      <c r="E65" s="75"/>
      <c r="H65" s="50" t="str">
        <f t="shared" si="5"/>
        <v xml:space="preserve"> </v>
      </c>
      <c r="I65" s="50"/>
      <c r="J65" s="51" t="str">
        <f t="shared" si="0"/>
        <v/>
      </c>
      <c r="K65" s="51" t="str">
        <f t="shared" si="1"/>
        <v/>
      </c>
      <c r="L65" s="106" t="str">
        <f t="shared" si="6"/>
        <v xml:space="preserve"> </v>
      </c>
      <c r="M65" s="106" t="str">
        <f t="shared" si="2"/>
        <v xml:space="preserve"> </v>
      </c>
      <c r="N65" s="51" t="str">
        <f t="shared" si="3"/>
        <v xml:space="preserve"> </v>
      </c>
      <c r="O65" s="51"/>
      <c r="P65" s="51" t="str">
        <f t="shared" si="4"/>
        <v xml:space="preserve"> </v>
      </c>
      <c r="U65" s="186" t="s">
        <v>0</v>
      </c>
      <c r="V65" s="153">
        <f>+((1+AA36*($D$32/360))^(360/$D$32))-1</f>
        <v>0.26508147500148804</v>
      </c>
      <c r="W65" s="154"/>
      <c r="X65" s="111"/>
    </row>
    <row r="66" spans="2:24" ht="28.5" customHeight="1" thickBot="1" x14ac:dyDescent="0.3">
      <c r="C66" s="93"/>
      <c r="H66" s="50" t="str">
        <f t="shared" si="5"/>
        <v xml:space="preserve"> </v>
      </c>
      <c r="I66" s="50"/>
      <c r="J66" s="51" t="str">
        <f t="shared" si="0"/>
        <v/>
      </c>
      <c r="K66" s="51" t="str">
        <f t="shared" si="1"/>
        <v/>
      </c>
      <c r="L66" s="106" t="str">
        <f t="shared" si="6"/>
        <v xml:space="preserve"> </v>
      </c>
      <c r="M66" s="106" t="str">
        <f t="shared" si="2"/>
        <v xml:space="preserve"> </v>
      </c>
      <c r="N66" s="51" t="str">
        <f t="shared" si="3"/>
        <v xml:space="preserve"> </v>
      </c>
      <c r="O66" s="51"/>
      <c r="P66" s="51" t="str">
        <f t="shared" si="4"/>
        <v xml:space="preserve"> </v>
      </c>
      <c r="U66" s="187"/>
      <c r="V66" s="155"/>
      <c r="W66" s="156"/>
      <c r="X66" s="111"/>
    </row>
    <row r="67" spans="2:24" ht="15" x14ac:dyDescent="0.25">
      <c r="C67" s="93" t="s">
        <v>94</v>
      </c>
      <c r="H67" s="50" t="str">
        <f t="shared" si="5"/>
        <v xml:space="preserve"> </v>
      </c>
      <c r="I67" s="50"/>
      <c r="J67" s="51" t="str">
        <f t="shared" si="0"/>
        <v/>
      </c>
      <c r="K67" s="51" t="str">
        <f t="shared" si="1"/>
        <v/>
      </c>
      <c r="L67" s="106" t="str">
        <f t="shared" si="6"/>
        <v xml:space="preserve"> </v>
      </c>
      <c r="M67" s="106" t="str">
        <f t="shared" si="2"/>
        <v xml:space="preserve"> </v>
      </c>
      <c r="N67" s="51" t="str">
        <f t="shared" si="3"/>
        <v xml:space="preserve"> </v>
      </c>
      <c r="O67" s="51"/>
      <c r="P67" s="51" t="str">
        <f t="shared" si="4"/>
        <v xml:space="preserve"> </v>
      </c>
    </row>
    <row r="68" spans="2:24" ht="15" x14ac:dyDescent="0.25">
      <c r="C68" s="93" t="s">
        <v>77</v>
      </c>
      <c r="H68" s="50" t="str">
        <f t="shared" si="5"/>
        <v xml:space="preserve"> </v>
      </c>
      <c r="I68" s="50"/>
      <c r="J68" s="51" t="str">
        <f t="shared" si="0"/>
        <v/>
      </c>
      <c r="K68" s="51" t="str">
        <f t="shared" si="1"/>
        <v/>
      </c>
      <c r="L68" s="106" t="str">
        <f t="shared" si="6"/>
        <v xml:space="preserve"> </v>
      </c>
      <c r="M68" s="106" t="str">
        <f t="shared" si="2"/>
        <v xml:space="preserve"> </v>
      </c>
      <c r="N68" s="51" t="str">
        <f t="shared" si="3"/>
        <v xml:space="preserve"> </v>
      </c>
      <c r="O68" s="51"/>
      <c r="P68" s="51" t="str">
        <f t="shared" si="4"/>
        <v xml:space="preserve"> </v>
      </c>
    </row>
    <row r="69" spans="2:24" ht="15" x14ac:dyDescent="0.25">
      <c r="C69" s="93" t="s">
        <v>78</v>
      </c>
      <c r="H69" s="50" t="str">
        <f t="shared" si="5"/>
        <v xml:space="preserve"> </v>
      </c>
      <c r="I69" s="50"/>
      <c r="J69" s="51" t="str">
        <f t="shared" si="0"/>
        <v/>
      </c>
      <c r="K69" s="51" t="str">
        <f t="shared" si="1"/>
        <v/>
      </c>
      <c r="L69" s="106" t="str">
        <f t="shared" si="6"/>
        <v xml:space="preserve"> </v>
      </c>
      <c r="M69" s="106" t="str">
        <f t="shared" si="2"/>
        <v xml:space="preserve"> </v>
      </c>
      <c r="N69" s="51" t="str">
        <f t="shared" si="3"/>
        <v xml:space="preserve"> </v>
      </c>
      <c r="O69" s="51"/>
      <c r="P69" s="51" t="str">
        <f t="shared" si="4"/>
        <v xml:space="preserve"> </v>
      </c>
    </row>
    <row r="70" spans="2:24" ht="15" x14ac:dyDescent="0.25">
      <c r="C70" s="93" t="s">
        <v>81</v>
      </c>
      <c r="H70" s="50" t="str">
        <f t="shared" si="5"/>
        <v xml:space="preserve"> </v>
      </c>
      <c r="I70" s="50"/>
      <c r="J70" s="51" t="str">
        <f t="shared" si="0"/>
        <v/>
      </c>
      <c r="K70" s="51" t="str">
        <f t="shared" si="1"/>
        <v/>
      </c>
      <c r="L70" s="106" t="str">
        <f t="shared" si="6"/>
        <v xml:space="preserve"> </v>
      </c>
      <c r="M70" s="106" t="str">
        <f t="shared" si="2"/>
        <v xml:space="preserve"> </v>
      </c>
      <c r="N70" s="51" t="str">
        <f t="shared" si="3"/>
        <v xml:space="preserve"> </v>
      </c>
      <c r="O70" s="51"/>
      <c r="P70" s="51" t="str">
        <f t="shared" si="4"/>
        <v xml:space="preserve"> </v>
      </c>
    </row>
    <row r="71" spans="2:24" ht="15" x14ac:dyDescent="0.25">
      <c r="C71" s="93" t="s">
        <v>79</v>
      </c>
      <c r="H71" s="50" t="str">
        <f t="shared" si="5"/>
        <v xml:space="preserve"> </v>
      </c>
      <c r="I71" s="50"/>
      <c r="J71" s="51" t="str">
        <f t="shared" si="0"/>
        <v/>
      </c>
      <c r="K71" s="51" t="str">
        <f t="shared" si="1"/>
        <v/>
      </c>
      <c r="L71" s="106" t="str">
        <f t="shared" si="6"/>
        <v xml:space="preserve"> </v>
      </c>
      <c r="M71" s="106" t="str">
        <f t="shared" si="2"/>
        <v xml:space="preserve"> </v>
      </c>
      <c r="N71" s="51" t="str">
        <f t="shared" si="3"/>
        <v xml:space="preserve"> </v>
      </c>
      <c r="O71" s="51"/>
      <c r="P71" s="51" t="str">
        <f t="shared" si="4"/>
        <v xml:space="preserve"> </v>
      </c>
    </row>
    <row r="72" spans="2:24" ht="15" x14ac:dyDescent="0.25">
      <c r="C72" s="93" t="s">
        <v>82</v>
      </c>
      <c r="H72" s="50" t="str">
        <f t="shared" si="5"/>
        <v xml:space="preserve"> </v>
      </c>
      <c r="I72" s="50"/>
      <c r="J72" s="51" t="str">
        <f t="shared" si="0"/>
        <v/>
      </c>
      <c r="K72" s="51" t="str">
        <f t="shared" si="1"/>
        <v/>
      </c>
      <c r="L72" s="106" t="str">
        <f t="shared" si="6"/>
        <v xml:space="preserve"> </v>
      </c>
      <c r="M72" s="106" t="str">
        <f t="shared" si="2"/>
        <v xml:space="preserve"> </v>
      </c>
      <c r="N72" s="51" t="str">
        <f t="shared" si="3"/>
        <v xml:space="preserve"> </v>
      </c>
      <c r="O72" s="51"/>
      <c r="P72" s="51" t="str">
        <f t="shared" si="4"/>
        <v xml:space="preserve"> </v>
      </c>
    </row>
    <row r="73" spans="2:24" ht="15" x14ac:dyDescent="0.25">
      <c r="C73" s="94" t="s">
        <v>80</v>
      </c>
      <c r="H73" s="50" t="str">
        <f t="shared" si="5"/>
        <v xml:space="preserve"> </v>
      </c>
      <c r="I73" s="50"/>
      <c r="J73" s="51" t="str">
        <f t="shared" si="0"/>
        <v/>
      </c>
      <c r="K73" s="51" t="str">
        <f t="shared" si="1"/>
        <v/>
      </c>
      <c r="L73" s="106" t="str">
        <f t="shared" si="6"/>
        <v xml:space="preserve"> </v>
      </c>
      <c r="M73" s="106" t="str">
        <f t="shared" si="2"/>
        <v xml:space="preserve"> </v>
      </c>
      <c r="N73" s="51" t="str">
        <f t="shared" si="3"/>
        <v xml:space="preserve"> </v>
      </c>
      <c r="O73" s="51"/>
      <c r="P73" s="51" t="str">
        <f t="shared" si="4"/>
        <v xml:space="preserve"> </v>
      </c>
    </row>
    <row r="74" spans="2:24" ht="15" x14ac:dyDescent="0.25">
      <c r="C74" s="93"/>
      <c r="H74" s="50" t="str">
        <f t="shared" si="5"/>
        <v xml:space="preserve"> </v>
      </c>
      <c r="I74" s="50"/>
      <c r="J74" s="51" t="str">
        <f t="shared" si="0"/>
        <v/>
      </c>
      <c r="K74" s="51" t="str">
        <f t="shared" si="1"/>
        <v/>
      </c>
      <c r="L74" s="106" t="str">
        <f t="shared" si="6"/>
        <v xml:space="preserve"> </v>
      </c>
      <c r="M74" s="106" t="str">
        <f t="shared" si="2"/>
        <v xml:space="preserve"> </v>
      </c>
      <c r="N74" s="51" t="str">
        <f t="shared" si="3"/>
        <v xml:space="preserve"> </v>
      </c>
      <c r="O74" s="51"/>
      <c r="P74" s="51" t="str">
        <f t="shared" si="4"/>
        <v xml:space="preserve"> </v>
      </c>
    </row>
    <row r="75" spans="2:24" ht="15" x14ac:dyDescent="0.25">
      <c r="C75" s="93"/>
      <c r="H75" s="50" t="str">
        <f t="shared" si="5"/>
        <v xml:space="preserve"> </v>
      </c>
      <c r="I75" s="50"/>
      <c r="J75" s="51" t="str">
        <f t="shared" si="0"/>
        <v/>
      </c>
      <c r="K75" s="51" t="str">
        <f t="shared" si="1"/>
        <v/>
      </c>
      <c r="L75" s="106" t="str">
        <f t="shared" si="6"/>
        <v xml:space="preserve"> </v>
      </c>
      <c r="M75" s="106" t="str">
        <f t="shared" si="2"/>
        <v xml:space="preserve"> </v>
      </c>
      <c r="N75" s="51" t="str">
        <f t="shared" si="3"/>
        <v xml:space="preserve"> </v>
      </c>
      <c r="O75" s="51"/>
      <c r="P75" s="51" t="str">
        <f t="shared" si="4"/>
        <v xml:space="preserve"> </v>
      </c>
    </row>
    <row r="76" spans="2:24" ht="15" x14ac:dyDescent="0.25">
      <c r="C76" s="93"/>
      <c r="H76" s="50" t="str">
        <f t="shared" si="5"/>
        <v xml:space="preserve"> </v>
      </c>
      <c r="I76" s="50"/>
      <c r="J76" s="51" t="str">
        <f t="shared" si="0"/>
        <v/>
      </c>
      <c r="K76" s="51" t="str">
        <f t="shared" si="1"/>
        <v/>
      </c>
      <c r="L76" s="106" t="str">
        <f t="shared" si="6"/>
        <v xml:space="preserve"> </v>
      </c>
      <c r="M76" s="106" t="str">
        <f t="shared" si="2"/>
        <v xml:space="preserve"> </v>
      </c>
      <c r="N76" s="51" t="str">
        <f t="shared" si="3"/>
        <v xml:space="preserve"> </v>
      </c>
      <c r="O76" s="51"/>
      <c r="P76" s="51" t="str">
        <f t="shared" si="4"/>
        <v xml:space="preserve"> </v>
      </c>
    </row>
    <row r="77" spans="2:24" ht="15" x14ac:dyDescent="0.25">
      <c r="C77" s="93"/>
      <c r="H77" s="50" t="str">
        <f t="shared" si="5"/>
        <v xml:space="preserve"> </v>
      </c>
      <c r="I77" s="50"/>
      <c r="J77" s="51" t="str">
        <f t="shared" si="0"/>
        <v/>
      </c>
      <c r="K77" s="51" t="str">
        <f t="shared" si="1"/>
        <v/>
      </c>
      <c r="L77" s="106" t="str">
        <f t="shared" si="6"/>
        <v xml:space="preserve"> </v>
      </c>
      <c r="M77" s="106" t="str">
        <f t="shared" si="2"/>
        <v xml:space="preserve"> </v>
      </c>
      <c r="N77" s="51" t="str">
        <f t="shared" si="3"/>
        <v xml:space="preserve"> </v>
      </c>
      <c r="O77" s="51"/>
      <c r="P77" s="51" t="str">
        <f t="shared" si="4"/>
        <v xml:space="preserve"> </v>
      </c>
    </row>
    <row r="78" spans="2:24" ht="15" x14ac:dyDescent="0.25">
      <c r="C78" s="93"/>
      <c r="H78" s="50" t="str">
        <f t="shared" si="5"/>
        <v xml:space="preserve"> </v>
      </c>
      <c r="I78" s="50"/>
      <c r="J78" s="51" t="str">
        <f t="shared" si="0"/>
        <v/>
      </c>
      <c r="K78" s="51" t="str">
        <f t="shared" si="1"/>
        <v/>
      </c>
      <c r="L78" s="106" t="str">
        <f t="shared" si="6"/>
        <v xml:space="preserve"> </v>
      </c>
      <c r="M78" s="106" t="str">
        <f t="shared" si="2"/>
        <v xml:space="preserve"> </v>
      </c>
      <c r="N78" s="51" t="str">
        <f t="shared" si="3"/>
        <v xml:space="preserve"> </v>
      </c>
      <c r="O78" s="51"/>
      <c r="P78" s="51" t="str">
        <f t="shared" si="4"/>
        <v xml:space="preserve"> </v>
      </c>
    </row>
    <row r="79" spans="2:24" ht="15" x14ac:dyDescent="0.25">
      <c r="C79" s="93"/>
      <c r="H79" s="50" t="str">
        <f t="shared" si="5"/>
        <v xml:space="preserve"> </v>
      </c>
      <c r="I79" s="50"/>
      <c r="J79" s="51" t="str">
        <f t="shared" si="0"/>
        <v/>
      </c>
      <c r="K79" s="51" t="str">
        <f t="shared" si="1"/>
        <v/>
      </c>
      <c r="L79" s="106" t="str">
        <f t="shared" si="6"/>
        <v xml:space="preserve"> </v>
      </c>
      <c r="M79" s="106" t="str">
        <f t="shared" si="2"/>
        <v xml:space="preserve"> </v>
      </c>
      <c r="N79" s="51" t="str">
        <f t="shared" si="3"/>
        <v xml:space="preserve"> </v>
      </c>
      <c r="O79" s="51"/>
      <c r="P79" s="51" t="str">
        <f t="shared" si="4"/>
        <v xml:space="preserve"> </v>
      </c>
    </row>
    <row r="80" spans="2:24" ht="15" x14ac:dyDescent="0.25">
      <c r="C80" s="93"/>
      <c r="H80" s="50" t="str">
        <f t="shared" si="5"/>
        <v xml:space="preserve"> </v>
      </c>
      <c r="I80" s="50"/>
      <c r="J80" s="51" t="str">
        <f t="shared" si="0"/>
        <v/>
      </c>
      <c r="K80" s="51" t="str">
        <f t="shared" si="1"/>
        <v/>
      </c>
      <c r="L80" s="106" t="str">
        <f t="shared" si="6"/>
        <v xml:space="preserve"> </v>
      </c>
      <c r="M80" s="106" t="str">
        <f t="shared" si="2"/>
        <v xml:space="preserve"> </v>
      </c>
      <c r="N80" s="51" t="str">
        <f t="shared" si="3"/>
        <v xml:space="preserve"> </v>
      </c>
      <c r="O80" s="51"/>
      <c r="P80" s="51" t="str">
        <f t="shared" si="4"/>
        <v xml:space="preserve"> </v>
      </c>
    </row>
    <row r="81" spans="3:21" ht="15" x14ac:dyDescent="0.25">
      <c r="C81" s="93"/>
      <c r="H81" s="50" t="str">
        <f t="shared" si="5"/>
        <v xml:space="preserve"> </v>
      </c>
      <c r="I81" s="50"/>
      <c r="J81" s="51" t="str">
        <f t="shared" si="0"/>
        <v/>
      </c>
      <c r="K81" s="51" t="str">
        <f t="shared" si="1"/>
        <v/>
      </c>
      <c r="L81" s="106" t="str">
        <f t="shared" si="6"/>
        <v xml:space="preserve"> </v>
      </c>
      <c r="M81" s="106" t="str">
        <f t="shared" si="2"/>
        <v xml:space="preserve"> </v>
      </c>
      <c r="N81" s="51" t="str">
        <f t="shared" si="3"/>
        <v xml:space="preserve"> </v>
      </c>
      <c r="O81" s="51"/>
      <c r="P81" s="51" t="str">
        <f t="shared" si="4"/>
        <v xml:space="preserve"> </v>
      </c>
    </row>
    <row r="82" spans="3:21" ht="15" x14ac:dyDescent="0.25">
      <c r="C82" s="93"/>
      <c r="H82" s="50" t="str">
        <f t="shared" si="5"/>
        <v xml:space="preserve"> </v>
      </c>
      <c r="I82" s="50"/>
      <c r="J82" s="51" t="str">
        <f t="shared" si="0"/>
        <v/>
      </c>
      <c r="K82" s="51" t="str">
        <f t="shared" si="1"/>
        <v/>
      </c>
      <c r="L82" s="106" t="str">
        <f t="shared" si="6"/>
        <v xml:space="preserve"> </v>
      </c>
      <c r="M82" s="106" t="str">
        <f t="shared" si="2"/>
        <v xml:space="preserve"> </v>
      </c>
      <c r="N82" s="51" t="str">
        <f t="shared" si="3"/>
        <v xml:space="preserve"> </v>
      </c>
      <c r="O82" s="51"/>
      <c r="P82" s="51" t="str">
        <f t="shared" si="4"/>
        <v xml:space="preserve"> </v>
      </c>
    </row>
    <row r="83" spans="3:21" ht="15" x14ac:dyDescent="0.25">
      <c r="C83" s="93"/>
      <c r="H83" s="50" t="str">
        <f t="shared" si="5"/>
        <v xml:space="preserve"> </v>
      </c>
      <c r="I83" s="50"/>
      <c r="J83" s="51" t="str">
        <f t="shared" ref="J83:J146" si="7">IF(H83&lt;&gt;$D$33,"",IF($D$23="Quincenal",$I$17*(1+$D$35*30/360)^($D$33/2),IF($D$23="Mensual",$I$17*(1+$D$35*30/360)^$D$33,IF($D$23="Bimensual",$I$17*(1+$D$35*30/360)^($D$33*2),IF($D$23="Trimestral",$I$17*(1+$D$35*30/360)^($D$33*3),IF($D$23="Cuatrimestral",$I$17*(1+$D$35*30/360)^($D$33*4),IF($D$23="Semestral",$I$17*(1+$D$35*30/360)^($D$33*6),IF($D$23="Anual",$I$17*(1+$D$35*30/360)^($D$33*12)))))))))</f>
        <v/>
      </c>
      <c r="K83" s="51" t="str">
        <f t="shared" ref="K83:K146" si="8">IF(H82&lt;=$U$17,IF(credito="Francesa",IF(H83&lt;=$U$17,$K82,0),IF(credito="Alemana",IF(H83&lt;=$U$17,L83+M83,0))),"")</f>
        <v/>
      </c>
      <c r="L83" s="106" t="str">
        <f t="shared" si="6"/>
        <v xml:space="preserve"> </v>
      </c>
      <c r="M83" s="106" t="str">
        <f t="shared" ref="M83:M146" si="9">IF(H83&lt;=$U$17,IF(credito="Francesa",K83-L83,IF(credito="Alemana",IF(H83&lt;=$U$17,$M82,0)))," ")</f>
        <v xml:space="preserve"> </v>
      </c>
      <c r="N83" s="51" t="str">
        <f t="shared" ref="N83:N146" si="10">IF(H83&lt;=$U$17,N82-M83," ")</f>
        <v xml:space="preserve"> </v>
      </c>
      <c r="O83" s="51"/>
      <c r="P83" s="51" t="str">
        <f t="shared" ref="P83:P146" si="11">IFERROR(SUM(IF(H83&lt;=$U$17,-K83," "),J83)," ")</f>
        <v xml:space="preserve"> </v>
      </c>
    </row>
    <row r="84" spans="3:21" ht="15" x14ac:dyDescent="0.25">
      <c r="C84" s="93"/>
      <c r="H84" s="50" t="str">
        <f t="shared" ref="H84:H147" si="12">IF($H83&gt;=$U$17," ",H83+1)</f>
        <v xml:space="preserve"> </v>
      </c>
      <c r="I84" s="50"/>
      <c r="J84" s="51" t="str">
        <f t="shared" si="7"/>
        <v/>
      </c>
      <c r="K84" s="51" t="str">
        <f t="shared" si="8"/>
        <v/>
      </c>
      <c r="L84" s="106" t="str">
        <f t="shared" ref="L84:L147" si="13">IF(H84&lt;=$U$17,N83*$D$28/$D$24," ")</f>
        <v xml:space="preserve"> </v>
      </c>
      <c r="M84" s="106" t="str">
        <f t="shared" si="9"/>
        <v xml:space="preserve"> </v>
      </c>
      <c r="N84" s="51" t="str">
        <f t="shared" si="10"/>
        <v xml:space="preserve"> </v>
      </c>
      <c r="O84" s="51"/>
      <c r="P84" s="51" t="str">
        <f t="shared" si="11"/>
        <v xml:space="preserve"> </v>
      </c>
    </row>
    <row r="85" spans="3:21" ht="15" x14ac:dyDescent="0.25">
      <c r="C85" s="93"/>
      <c r="H85" s="50" t="str">
        <f t="shared" si="12"/>
        <v xml:space="preserve"> </v>
      </c>
      <c r="I85" s="50"/>
      <c r="J85" s="51" t="str">
        <f t="shared" si="7"/>
        <v/>
      </c>
      <c r="K85" s="51" t="str">
        <f t="shared" si="8"/>
        <v/>
      </c>
      <c r="L85" s="106" t="str">
        <f t="shared" si="13"/>
        <v xml:space="preserve"> </v>
      </c>
      <c r="M85" s="106" t="str">
        <f t="shared" si="9"/>
        <v xml:space="preserve"> </v>
      </c>
      <c r="N85" s="51" t="str">
        <f t="shared" si="10"/>
        <v xml:space="preserve"> </v>
      </c>
      <c r="O85" s="51"/>
      <c r="P85" s="51" t="str">
        <f t="shared" si="11"/>
        <v xml:space="preserve"> </v>
      </c>
    </row>
    <row r="86" spans="3:21" ht="15" x14ac:dyDescent="0.25">
      <c r="C86" s="93"/>
      <c r="H86" s="50" t="str">
        <f t="shared" si="12"/>
        <v xml:space="preserve"> </v>
      </c>
      <c r="I86" s="50"/>
      <c r="J86" s="51" t="str">
        <f t="shared" si="7"/>
        <v/>
      </c>
      <c r="K86" s="51" t="str">
        <f t="shared" si="8"/>
        <v/>
      </c>
      <c r="L86" s="106" t="str">
        <f t="shared" si="13"/>
        <v xml:space="preserve"> </v>
      </c>
      <c r="M86" s="106" t="str">
        <f t="shared" si="9"/>
        <v xml:space="preserve"> </v>
      </c>
      <c r="N86" s="51" t="str">
        <f t="shared" si="10"/>
        <v xml:space="preserve"> </v>
      </c>
      <c r="O86" s="51"/>
      <c r="P86" s="51" t="str">
        <f t="shared" si="11"/>
        <v xml:space="preserve"> </v>
      </c>
    </row>
    <row r="87" spans="3:21" ht="15" x14ac:dyDescent="0.25">
      <c r="C87" s="93"/>
      <c r="H87" s="50" t="str">
        <f t="shared" si="12"/>
        <v xml:space="preserve"> </v>
      </c>
      <c r="I87" s="50"/>
      <c r="J87" s="51" t="str">
        <f t="shared" si="7"/>
        <v/>
      </c>
      <c r="K87" s="51" t="str">
        <f t="shared" si="8"/>
        <v/>
      </c>
      <c r="L87" s="106" t="str">
        <f t="shared" si="13"/>
        <v xml:space="preserve"> </v>
      </c>
      <c r="M87" s="106" t="str">
        <f t="shared" si="9"/>
        <v xml:space="preserve"> </v>
      </c>
      <c r="N87" s="51" t="str">
        <f t="shared" si="10"/>
        <v xml:space="preserve"> </v>
      </c>
      <c r="O87" s="51"/>
      <c r="P87" s="51" t="str">
        <f t="shared" si="11"/>
        <v xml:space="preserve"> </v>
      </c>
    </row>
    <row r="88" spans="3:21" ht="28.5" x14ac:dyDescent="0.45">
      <c r="C88" s="93"/>
      <c r="H88" s="50" t="str">
        <f t="shared" si="12"/>
        <v xml:space="preserve"> </v>
      </c>
      <c r="I88" s="50"/>
      <c r="J88" s="51" t="str">
        <f t="shared" si="7"/>
        <v/>
      </c>
      <c r="K88" s="51" t="str">
        <f t="shared" si="8"/>
        <v/>
      </c>
      <c r="L88" s="106" t="str">
        <f t="shared" si="13"/>
        <v xml:space="preserve"> </v>
      </c>
      <c r="M88" s="106" t="str">
        <f t="shared" si="9"/>
        <v xml:space="preserve"> </v>
      </c>
      <c r="N88" s="51" t="str">
        <f t="shared" si="10"/>
        <v xml:space="preserve"> </v>
      </c>
      <c r="O88" s="51"/>
      <c r="P88" s="51" t="str">
        <f t="shared" si="11"/>
        <v xml:space="preserve"> </v>
      </c>
      <c r="T88" s="185"/>
      <c r="U88" s="185"/>
    </row>
    <row r="89" spans="3:21" ht="15" x14ac:dyDescent="0.25">
      <c r="C89" s="93"/>
      <c r="H89" s="50" t="str">
        <f t="shared" si="12"/>
        <v xml:space="preserve"> </v>
      </c>
      <c r="I89" s="50"/>
      <c r="J89" s="51" t="str">
        <f t="shared" si="7"/>
        <v/>
      </c>
      <c r="K89" s="51" t="str">
        <f t="shared" si="8"/>
        <v/>
      </c>
      <c r="L89" s="106" t="str">
        <f t="shared" si="13"/>
        <v xml:space="preserve"> </v>
      </c>
      <c r="M89" s="106" t="str">
        <f t="shared" si="9"/>
        <v xml:space="preserve"> </v>
      </c>
      <c r="N89" s="51" t="str">
        <f t="shared" si="10"/>
        <v xml:space="preserve"> </v>
      </c>
      <c r="O89" s="51"/>
      <c r="P89" s="51" t="str">
        <f t="shared" si="11"/>
        <v xml:space="preserve"> </v>
      </c>
    </row>
    <row r="90" spans="3:21" ht="15" x14ac:dyDescent="0.25">
      <c r="C90" s="93"/>
      <c r="H90" s="50" t="str">
        <f t="shared" si="12"/>
        <v xml:space="preserve"> </v>
      </c>
      <c r="I90" s="50"/>
      <c r="J90" s="51" t="str">
        <f t="shared" si="7"/>
        <v/>
      </c>
      <c r="K90" s="51" t="str">
        <f t="shared" si="8"/>
        <v/>
      </c>
      <c r="L90" s="106" t="str">
        <f t="shared" si="13"/>
        <v xml:space="preserve"> </v>
      </c>
      <c r="M90" s="106" t="str">
        <f t="shared" si="9"/>
        <v xml:space="preserve"> </v>
      </c>
      <c r="N90" s="51" t="str">
        <f t="shared" si="10"/>
        <v xml:space="preserve"> </v>
      </c>
      <c r="O90" s="51"/>
      <c r="P90" s="51" t="str">
        <f t="shared" si="11"/>
        <v xml:space="preserve"> </v>
      </c>
    </row>
    <row r="91" spans="3:21" ht="15" x14ac:dyDescent="0.25">
      <c r="C91" s="93"/>
      <c r="H91" s="50" t="str">
        <f t="shared" si="12"/>
        <v xml:space="preserve"> </v>
      </c>
      <c r="I91" s="50"/>
      <c r="J91" s="51" t="str">
        <f t="shared" si="7"/>
        <v/>
      </c>
      <c r="K91" s="51" t="str">
        <f t="shared" si="8"/>
        <v/>
      </c>
      <c r="L91" s="106" t="str">
        <f t="shared" si="13"/>
        <v xml:space="preserve"> </v>
      </c>
      <c r="M91" s="106" t="str">
        <f t="shared" si="9"/>
        <v xml:space="preserve"> </v>
      </c>
      <c r="N91" s="51" t="str">
        <f t="shared" si="10"/>
        <v xml:space="preserve"> </v>
      </c>
      <c r="O91" s="51"/>
      <c r="P91" s="51" t="str">
        <f t="shared" si="11"/>
        <v xml:space="preserve"> </v>
      </c>
    </row>
    <row r="92" spans="3:21" ht="15" x14ac:dyDescent="0.25">
      <c r="C92" s="93"/>
      <c r="H92" s="50" t="str">
        <f t="shared" si="12"/>
        <v xml:space="preserve"> </v>
      </c>
      <c r="I92" s="50"/>
      <c r="J92" s="51" t="str">
        <f t="shared" si="7"/>
        <v/>
      </c>
      <c r="K92" s="51" t="str">
        <f t="shared" si="8"/>
        <v/>
      </c>
      <c r="L92" s="106" t="str">
        <f t="shared" si="13"/>
        <v xml:space="preserve"> </v>
      </c>
      <c r="M92" s="106" t="str">
        <f t="shared" si="9"/>
        <v xml:space="preserve"> </v>
      </c>
      <c r="N92" s="51" t="str">
        <f t="shared" si="10"/>
        <v xml:space="preserve"> </v>
      </c>
      <c r="O92" s="51"/>
      <c r="P92" s="51" t="str">
        <f t="shared" si="11"/>
        <v xml:space="preserve"> </v>
      </c>
    </row>
    <row r="93" spans="3:21" ht="15" x14ac:dyDescent="0.25">
      <c r="C93" s="93"/>
      <c r="H93" s="50" t="str">
        <f t="shared" si="12"/>
        <v xml:space="preserve"> </v>
      </c>
      <c r="I93" s="50"/>
      <c r="J93" s="51" t="str">
        <f t="shared" si="7"/>
        <v/>
      </c>
      <c r="K93" s="51" t="str">
        <f t="shared" si="8"/>
        <v/>
      </c>
      <c r="L93" s="106" t="str">
        <f t="shared" si="13"/>
        <v xml:space="preserve"> </v>
      </c>
      <c r="M93" s="106" t="str">
        <f t="shared" si="9"/>
        <v xml:space="preserve"> </v>
      </c>
      <c r="N93" s="51" t="str">
        <f t="shared" si="10"/>
        <v xml:space="preserve"> </v>
      </c>
      <c r="O93" s="51"/>
      <c r="P93" s="51" t="str">
        <f t="shared" si="11"/>
        <v xml:space="preserve"> </v>
      </c>
    </row>
    <row r="94" spans="3:21" ht="15" x14ac:dyDescent="0.25">
      <c r="C94" s="93"/>
      <c r="H94" s="50" t="str">
        <f t="shared" si="12"/>
        <v xml:space="preserve"> </v>
      </c>
      <c r="I94" s="50"/>
      <c r="J94" s="51" t="str">
        <f t="shared" si="7"/>
        <v/>
      </c>
      <c r="K94" s="51" t="str">
        <f t="shared" si="8"/>
        <v/>
      </c>
      <c r="L94" s="106" t="str">
        <f t="shared" si="13"/>
        <v xml:space="preserve"> </v>
      </c>
      <c r="M94" s="106" t="str">
        <f t="shared" si="9"/>
        <v xml:space="preserve"> </v>
      </c>
      <c r="N94" s="51" t="str">
        <f t="shared" si="10"/>
        <v xml:space="preserve"> </v>
      </c>
      <c r="O94" s="51"/>
      <c r="P94" s="51" t="str">
        <f t="shared" si="11"/>
        <v xml:space="preserve"> </v>
      </c>
    </row>
    <row r="95" spans="3:21" ht="15" x14ac:dyDescent="0.25">
      <c r="C95" s="93"/>
      <c r="H95" s="50" t="str">
        <f t="shared" si="12"/>
        <v xml:space="preserve"> </v>
      </c>
      <c r="I95" s="50"/>
      <c r="J95" s="51" t="str">
        <f t="shared" si="7"/>
        <v/>
      </c>
      <c r="K95" s="51" t="str">
        <f t="shared" si="8"/>
        <v/>
      </c>
      <c r="L95" s="106" t="str">
        <f t="shared" si="13"/>
        <v xml:space="preserve"> </v>
      </c>
      <c r="M95" s="106" t="str">
        <f t="shared" si="9"/>
        <v xml:space="preserve"> </v>
      </c>
      <c r="N95" s="51" t="str">
        <f t="shared" si="10"/>
        <v xml:space="preserve"> </v>
      </c>
      <c r="O95" s="51"/>
      <c r="P95" s="51" t="str">
        <f t="shared" si="11"/>
        <v xml:space="preserve"> </v>
      </c>
    </row>
    <row r="96" spans="3:21" ht="15" x14ac:dyDescent="0.25">
      <c r="C96" s="93"/>
      <c r="H96" s="50" t="str">
        <f t="shared" si="12"/>
        <v xml:space="preserve"> </v>
      </c>
      <c r="I96" s="50"/>
      <c r="J96" s="51" t="str">
        <f t="shared" si="7"/>
        <v/>
      </c>
      <c r="K96" s="51" t="str">
        <f t="shared" si="8"/>
        <v/>
      </c>
      <c r="L96" s="106" t="str">
        <f t="shared" si="13"/>
        <v xml:space="preserve"> </v>
      </c>
      <c r="M96" s="106" t="str">
        <f t="shared" si="9"/>
        <v xml:space="preserve"> </v>
      </c>
      <c r="N96" s="51" t="str">
        <f t="shared" si="10"/>
        <v xml:space="preserve"> </v>
      </c>
      <c r="O96" s="51"/>
      <c r="P96" s="51" t="str">
        <f t="shared" si="11"/>
        <v xml:space="preserve"> </v>
      </c>
    </row>
    <row r="97" spans="3:16" ht="15" x14ac:dyDescent="0.25">
      <c r="C97" s="93"/>
      <c r="H97" s="50" t="str">
        <f t="shared" si="12"/>
        <v xml:space="preserve"> </v>
      </c>
      <c r="I97" s="50"/>
      <c r="J97" s="51" t="str">
        <f t="shared" si="7"/>
        <v/>
      </c>
      <c r="K97" s="51" t="str">
        <f t="shared" si="8"/>
        <v/>
      </c>
      <c r="L97" s="106" t="str">
        <f t="shared" si="13"/>
        <v xml:space="preserve"> </v>
      </c>
      <c r="M97" s="106" t="str">
        <f t="shared" si="9"/>
        <v xml:space="preserve"> </v>
      </c>
      <c r="N97" s="51" t="str">
        <f t="shared" si="10"/>
        <v xml:space="preserve"> </v>
      </c>
      <c r="O97" s="51"/>
      <c r="P97" s="51" t="str">
        <f t="shared" si="11"/>
        <v xml:space="preserve"> </v>
      </c>
    </row>
    <row r="98" spans="3:16" ht="15" x14ac:dyDescent="0.25">
      <c r="C98" s="93"/>
      <c r="H98" s="50" t="str">
        <f t="shared" si="12"/>
        <v xml:space="preserve"> </v>
      </c>
      <c r="I98" s="50"/>
      <c r="J98" s="51" t="str">
        <f t="shared" si="7"/>
        <v/>
      </c>
      <c r="K98" s="51" t="str">
        <f t="shared" si="8"/>
        <v/>
      </c>
      <c r="L98" s="106" t="str">
        <f t="shared" si="13"/>
        <v xml:space="preserve"> </v>
      </c>
      <c r="M98" s="106" t="str">
        <f t="shared" si="9"/>
        <v xml:space="preserve"> </v>
      </c>
      <c r="N98" s="51" t="str">
        <f t="shared" si="10"/>
        <v xml:space="preserve"> </v>
      </c>
      <c r="O98" s="51"/>
      <c r="P98" s="51" t="str">
        <f t="shared" si="11"/>
        <v xml:space="preserve"> </v>
      </c>
    </row>
    <row r="99" spans="3:16" ht="15" x14ac:dyDescent="0.25">
      <c r="C99" s="93"/>
      <c r="H99" s="50" t="str">
        <f t="shared" si="12"/>
        <v xml:space="preserve"> </v>
      </c>
      <c r="I99" s="50"/>
      <c r="J99" s="51" t="str">
        <f t="shared" si="7"/>
        <v/>
      </c>
      <c r="K99" s="51" t="str">
        <f t="shared" si="8"/>
        <v/>
      </c>
      <c r="L99" s="106" t="str">
        <f t="shared" si="13"/>
        <v xml:space="preserve"> </v>
      </c>
      <c r="M99" s="106" t="str">
        <f t="shared" si="9"/>
        <v xml:space="preserve"> </v>
      </c>
      <c r="N99" s="51" t="str">
        <f t="shared" si="10"/>
        <v xml:space="preserve"> </v>
      </c>
      <c r="O99" s="51"/>
      <c r="P99" s="51" t="str">
        <f t="shared" si="11"/>
        <v xml:space="preserve"> </v>
      </c>
    </row>
    <row r="100" spans="3:16" ht="15" x14ac:dyDescent="0.25">
      <c r="C100" s="93"/>
      <c r="H100" s="50" t="str">
        <f t="shared" si="12"/>
        <v xml:space="preserve"> </v>
      </c>
      <c r="I100" s="50"/>
      <c r="J100" s="51" t="str">
        <f t="shared" si="7"/>
        <v/>
      </c>
      <c r="K100" s="51" t="str">
        <f t="shared" si="8"/>
        <v/>
      </c>
      <c r="L100" s="106" t="str">
        <f t="shared" si="13"/>
        <v xml:space="preserve"> </v>
      </c>
      <c r="M100" s="106" t="str">
        <f t="shared" si="9"/>
        <v xml:space="preserve"> </v>
      </c>
      <c r="N100" s="51" t="str">
        <f t="shared" si="10"/>
        <v xml:space="preserve"> </v>
      </c>
      <c r="O100" s="51"/>
      <c r="P100" s="51" t="str">
        <f t="shared" si="11"/>
        <v xml:space="preserve"> </v>
      </c>
    </row>
    <row r="101" spans="3:16" ht="15" x14ac:dyDescent="0.25">
      <c r="C101" s="93"/>
      <c r="H101" s="50" t="str">
        <f t="shared" si="12"/>
        <v xml:space="preserve"> </v>
      </c>
      <c r="I101" s="50"/>
      <c r="J101" s="51" t="str">
        <f t="shared" si="7"/>
        <v/>
      </c>
      <c r="K101" s="51" t="str">
        <f t="shared" si="8"/>
        <v/>
      </c>
      <c r="L101" s="106" t="str">
        <f t="shared" si="13"/>
        <v xml:space="preserve"> </v>
      </c>
      <c r="M101" s="106" t="str">
        <f t="shared" si="9"/>
        <v xml:space="preserve"> </v>
      </c>
      <c r="N101" s="51" t="str">
        <f t="shared" si="10"/>
        <v xml:space="preserve"> </v>
      </c>
      <c r="O101" s="51"/>
      <c r="P101" s="51" t="str">
        <f t="shared" si="11"/>
        <v xml:space="preserve"> </v>
      </c>
    </row>
    <row r="102" spans="3:16" ht="15" x14ac:dyDescent="0.25">
      <c r="C102" s="93"/>
      <c r="H102" s="50" t="str">
        <f t="shared" si="12"/>
        <v xml:space="preserve"> </v>
      </c>
      <c r="I102" s="50"/>
      <c r="J102" s="51" t="str">
        <f t="shared" si="7"/>
        <v/>
      </c>
      <c r="K102" s="51" t="str">
        <f t="shared" si="8"/>
        <v/>
      </c>
      <c r="L102" s="106" t="str">
        <f t="shared" si="13"/>
        <v xml:space="preserve"> </v>
      </c>
      <c r="M102" s="106" t="str">
        <f t="shared" si="9"/>
        <v xml:space="preserve"> </v>
      </c>
      <c r="N102" s="51" t="str">
        <f t="shared" si="10"/>
        <v xml:space="preserve"> </v>
      </c>
      <c r="O102" s="51"/>
      <c r="P102" s="51" t="str">
        <f t="shared" si="11"/>
        <v xml:space="preserve"> </v>
      </c>
    </row>
    <row r="103" spans="3:16" ht="15" x14ac:dyDescent="0.25">
      <c r="C103" s="93"/>
      <c r="H103" s="50" t="str">
        <f t="shared" si="12"/>
        <v xml:space="preserve"> </v>
      </c>
      <c r="I103" s="50"/>
      <c r="J103" s="51" t="str">
        <f t="shared" si="7"/>
        <v/>
      </c>
      <c r="K103" s="51" t="str">
        <f t="shared" si="8"/>
        <v/>
      </c>
      <c r="L103" s="106" t="str">
        <f t="shared" si="13"/>
        <v xml:space="preserve"> </v>
      </c>
      <c r="M103" s="106" t="str">
        <f t="shared" si="9"/>
        <v xml:space="preserve"> </v>
      </c>
      <c r="N103" s="51" t="str">
        <f t="shared" si="10"/>
        <v xml:space="preserve"> </v>
      </c>
      <c r="O103" s="51"/>
      <c r="P103" s="51" t="str">
        <f t="shared" si="11"/>
        <v xml:space="preserve"> </v>
      </c>
    </row>
    <row r="104" spans="3:16" ht="15" x14ac:dyDescent="0.25">
      <c r="C104" s="93"/>
      <c r="H104" s="50" t="str">
        <f t="shared" si="12"/>
        <v xml:space="preserve"> </v>
      </c>
      <c r="I104" s="50"/>
      <c r="J104" s="51" t="str">
        <f t="shared" si="7"/>
        <v/>
      </c>
      <c r="K104" s="51" t="str">
        <f t="shared" si="8"/>
        <v/>
      </c>
      <c r="L104" s="106" t="str">
        <f t="shared" si="13"/>
        <v xml:space="preserve"> </v>
      </c>
      <c r="M104" s="106" t="str">
        <f t="shared" si="9"/>
        <v xml:space="preserve"> </v>
      </c>
      <c r="N104" s="51" t="str">
        <f t="shared" si="10"/>
        <v xml:space="preserve"> </v>
      </c>
      <c r="O104" s="51"/>
      <c r="P104" s="51" t="str">
        <f t="shared" si="11"/>
        <v xml:space="preserve"> </v>
      </c>
    </row>
    <row r="105" spans="3:16" ht="15" x14ac:dyDescent="0.25">
      <c r="C105" s="93"/>
      <c r="H105" s="50" t="str">
        <f t="shared" si="12"/>
        <v xml:space="preserve"> </v>
      </c>
      <c r="I105" s="50"/>
      <c r="J105" s="51" t="str">
        <f t="shared" si="7"/>
        <v/>
      </c>
      <c r="K105" s="51" t="str">
        <f t="shared" si="8"/>
        <v/>
      </c>
      <c r="L105" s="106" t="str">
        <f t="shared" si="13"/>
        <v xml:space="preserve"> </v>
      </c>
      <c r="M105" s="106" t="str">
        <f t="shared" si="9"/>
        <v xml:space="preserve"> </v>
      </c>
      <c r="N105" s="51" t="str">
        <f t="shared" si="10"/>
        <v xml:space="preserve"> </v>
      </c>
      <c r="O105" s="51"/>
      <c r="P105" s="51" t="str">
        <f t="shared" si="11"/>
        <v xml:space="preserve"> </v>
      </c>
    </row>
    <row r="106" spans="3:16" ht="15" x14ac:dyDescent="0.25">
      <c r="C106" s="93"/>
      <c r="H106" s="50" t="str">
        <f t="shared" si="12"/>
        <v xml:space="preserve"> </v>
      </c>
      <c r="I106" s="50"/>
      <c r="J106" s="51" t="str">
        <f t="shared" si="7"/>
        <v/>
      </c>
      <c r="K106" s="51" t="str">
        <f t="shared" si="8"/>
        <v/>
      </c>
      <c r="L106" s="106" t="str">
        <f t="shared" si="13"/>
        <v xml:space="preserve"> </v>
      </c>
      <c r="M106" s="106" t="str">
        <f t="shared" si="9"/>
        <v xml:space="preserve"> </v>
      </c>
      <c r="N106" s="51" t="str">
        <f t="shared" si="10"/>
        <v xml:space="preserve"> </v>
      </c>
      <c r="O106" s="51"/>
      <c r="P106" s="51" t="str">
        <f t="shared" si="11"/>
        <v xml:space="preserve"> </v>
      </c>
    </row>
    <row r="107" spans="3:16" ht="15" x14ac:dyDescent="0.25">
      <c r="C107" s="93"/>
      <c r="H107" s="50" t="str">
        <f t="shared" si="12"/>
        <v xml:space="preserve"> </v>
      </c>
      <c r="I107" s="50"/>
      <c r="J107" s="51" t="str">
        <f t="shared" si="7"/>
        <v/>
      </c>
      <c r="K107" s="51" t="str">
        <f t="shared" si="8"/>
        <v/>
      </c>
      <c r="L107" s="106" t="str">
        <f t="shared" si="13"/>
        <v xml:space="preserve"> </v>
      </c>
      <c r="M107" s="106" t="str">
        <f t="shared" si="9"/>
        <v xml:space="preserve"> </v>
      </c>
      <c r="N107" s="51" t="str">
        <f t="shared" si="10"/>
        <v xml:space="preserve"> </v>
      </c>
      <c r="O107" s="51"/>
      <c r="P107" s="51" t="str">
        <f t="shared" si="11"/>
        <v xml:space="preserve"> </v>
      </c>
    </row>
    <row r="108" spans="3:16" ht="15" x14ac:dyDescent="0.25">
      <c r="C108" s="93"/>
      <c r="H108" s="50" t="str">
        <f t="shared" si="12"/>
        <v xml:space="preserve"> </v>
      </c>
      <c r="I108" s="50"/>
      <c r="J108" s="51" t="str">
        <f t="shared" si="7"/>
        <v/>
      </c>
      <c r="K108" s="51" t="str">
        <f t="shared" si="8"/>
        <v/>
      </c>
      <c r="L108" s="106" t="str">
        <f t="shared" si="13"/>
        <v xml:space="preserve"> </v>
      </c>
      <c r="M108" s="106" t="str">
        <f t="shared" si="9"/>
        <v xml:space="preserve"> </v>
      </c>
      <c r="N108" s="51" t="str">
        <f t="shared" si="10"/>
        <v xml:space="preserve"> </v>
      </c>
      <c r="O108" s="51"/>
      <c r="P108" s="51" t="str">
        <f t="shared" si="11"/>
        <v xml:space="preserve"> </v>
      </c>
    </row>
    <row r="109" spans="3:16" ht="15" x14ac:dyDescent="0.25">
      <c r="C109" s="93"/>
      <c r="H109" s="50" t="str">
        <f t="shared" si="12"/>
        <v xml:space="preserve"> </v>
      </c>
      <c r="I109" s="50"/>
      <c r="J109" s="51" t="str">
        <f t="shared" si="7"/>
        <v/>
      </c>
      <c r="K109" s="51" t="str">
        <f t="shared" si="8"/>
        <v/>
      </c>
      <c r="L109" s="106" t="str">
        <f t="shared" si="13"/>
        <v xml:space="preserve"> </v>
      </c>
      <c r="M109" s="106" t="str">
        <f t="shared" si="9"/>
        <v xml:space="preserve"> </v>
      </c>
      <c r="N109" s="51" t="str">
        <f t="shared" si="10"/>
        <v xml:space="preserve"> </v>
      </c>
      <c r="O109" s="51"/>
      <c r="P109" s="51" t="str">
        <f t="shared" si="11"/>
        <v xml:space="preserve"> </v>
      </c>
    </row>
    <row r="110" spans="3:16" ht="15" x14ac:dyDescent="0.25">
      <c r="C110" s="93"/>
      <c r="H110" s="50" t="str">
        <f t="shared" si="12"/>
        <v xml:space="preserve"> </v>
      </c>
      <c r="I110" s="50"/>
      <c r="J110" s="51" t="str">
        <f t="shared" si="7"/>
        <v/>
      </c>
      <c r="K110" s="51" t="str">
        <f t="shared" si="8"/>
        <v/>
      </c>
      <c r="L110" s="106" t="str">
        <f t="shared" si="13"/>
        <v xml:space="preserve"> </v>
      </c>
      <c r="M110" s="106" t="str">
        <f t="shared" si="9"/>
        <v xml:space="preserve"> </v>
      </c>
      <c r="N110" s="51" t="str">
        <f t="shared" si="10"/>
        <v xml:space="preserve"> </v>
      </c>
      <c r="O110" s="51"/>
      <c r="P110" s="51" t="str">
        <f t="shared" si="11"/>
        <v xml:space="preserve"> </v>
      </c>
    </row>
    <row r="111" spans="3:16" ht="15" x14ac:dyDescent="0.25">
      <c r="C111" s="93"/>
      <c r="H111" s="50" t="str">
        <f t="shared" si="12"/>
        <v xml:space="preserve"> </v>
      </c>
      <c r="I111" s="50"/>
      <c r="J111" s="51" t="str">
        <f t="shared" si="7"/>
        <v/>
      </c>
      <c r="K111" s="51" t="str">
        <f t="shared" si="8"/>
        <v/>
      </c>
      <c r="L111" s="106" t="str">
        <f t="shared" si="13"/>
        <v xml:space="preserve"> </v>
      </c>
      <c r="M111" s="106" t="str">
        <f t="shared" si="9"/>
        <v xml:space="preserve"> </v>
      </c>
      <c r="N111" s="51" t="str">
        <f t="shared" si="10"/>
        <v xml:space="preserve"> </v>
      </c>
      <c r="O111" s="51"/>
      <c r="P111" s="51" t="str">
        <f t="shared" si="11"/>
        <v xml:space="preserve"> </v>
      </c>
    </row>
    <row r="112" spans="3:16" ht="15" x14ac:dyDescent="0.25">
      <c r="C112" s="93"/>
      <c r="H112" s="50" t="str">
        <f t="shared" si="12"/>
        <v xml:space="preserve"> </v>
      </c>
      <c r="I112" s="50"/>
      <c r="J112" s="51" t="str">
        <f t="shared" si="7"/>
        <v/>
      </c>
      <c r="K112" s="51" t="str">
        <f t="shared" si="8"/>
        <v/>
      </c>
      <c r="L112" s="106" t="str">
        <f t="shared" si="13"/>
        <v xml:space="preserve"> </v>
      </c>
      <c r="M112" s="106" t="str">
        <f t="shared" si="9"/>
        <v xml:space="preserve"> </v>
      </c>
      <c r="N112" s="51" t="str">
        <f t="shared" si="10"/>
        <v xml:space="preserve"> </v>
      </c>
      <c r="O112" s="51"/>
      <c r="P112" s="51" t="str">
        <f t="shared" si="11"/>
        <v xml:space="preserve"> </v>
      </c>
    </row>
    <row r="113" spans="3:16" ht="15" x14ac:dyDescent="0.25">
      <c r="C113" s="93"/>
      <c r="H113" s="50" t="str">
        <f t="shared" si="12"/>
        <v xml:space="preserve"> </v>
      </c>
      <c r="I113" s="50"/>
      <c r="J113" s="51" t="str">
        <f t="shared" si="7"/>
        <v/>
      </c>
      <c r="K113" s="51" t="str">
        <f t="shared" si="8"/>
        <v/>
      </c>
      <c r="L113" s="106" t="str">
        <f t="shared" si="13"/>
        <v xml:space="preserve"> </v>
      </c>
      <c r="M113" s="106" t="str">
        <f t="shared" si="9"/>
        <v xml:space="preserve"> </v>
      </c>
      <c r="N113" s="51" t="str">
        <f t="shared" si="10"/>
        <v xml:space="preserve"> </v>
      </c>
      <c r="O113" s="51"/>
      <c r="P113" s="51" t="str">
        <f t="shared" si="11"/>
        <v xml:space="preserve"> </v>
      </c>
    </row>
    <row r="114" spans="3:16" ht="15" x14ac:dyDescent="0.25">
      <c r="C114" s="93"/>
      <c r="H114" s="50" t="str">
        <f t="shared" si="12"/>
        <v xml:space="preserve"> </v>
      </c>
      <c r="I114" s="50"/>
      <c r="J114" s="51" t="str">
        <f t="shared" si="7"/>
        <v/>
      </c>
      <c r="K114" s="51" t="str">
        <f t="shared" si="8"/>
        <v/>
      </c>
      <c r="L114" s="106" t="str">
        <f t="shared" si="13"/>
        <v xml:space="preserve"> </v>
      </c>
      <c r="M114" s="106" t="str">
        <f t="shared" si="9"/>
        <v xml:space="preserve"> </v>
      </c>
      <c r="N114" s="51" t="str">
        <f t="shared" si="10"/>
        <v xml:space="preserve"> </v>
      </c>
      <c r="O114" s="51"/>
      <c r="P114" s="51" t="str">
        <f t="shared" si="11"/>
        <v xml:space="preserve"> </v>
      </c>
    </row>
    <row r="115" spans="3:16" ht="15" x14ac:dyDescent="0.25">
      <c r="C115" s="93"/>
      <c r="H115" s="50" t="str">
        <f t="shared" si="12"/>
        <v xml:space="preserve"> </v>
      </c>
      <c r="I115" s="50"/>
      <c r="J115" s="51" t="str">
        <f t="shared" si="7"/>
        <v/>
      </c>
      <c r="K115" s="51" t="str">
        <f t="shared" si="8"/>
        <v/>
      </c>
      <c r="L115" s="106" t="str">
        <f t="shared" si="13"/>
        <v xml:space="preserve"> </v>
      </c>
      <c r="M115" s="106" t="str">
        <f t="shared" si="9"/>
        <v xml:space="preserve"> </v>
      </c>
      <c r="N115" s="51" t="str">
        <f t="shared" si="10"/>
        <v xml:space="preserve"> </v>
      </c>
      <c r="O115" s="51"/>
      <c r="P115" s="51" t="str">
        <f t="shared" si="11"/>
        <v xml:space="preserve"> </v>
      </c>
    </row>
    <row r="116" spans="3:16" ht="15" x14ac:dyDescent="0.25">
      <c r="C116" s="93"/>
      <c r="H116" s="50" t="str">
        <f t="shared" si="12"/>
        <v xml:space="preserve"> </v>
      </c>
      <c r="I116" s="50"/>
      <c r="J116" s="51" t="str">
        <f t="shared" si="7"/>
        <v/>
      </c>
      <c r="K116" s="51" t="str">
        <f t="shared" si="8"/>
        <v/>
      </c>
      <c r="L116" s="106" t="str">
        <f t="shared" si="13"/>
        <v xml:space="preserve"> </v>
      </c>
      <c r="M116" s="106" t="str">
        <f t="shared" si="9"/>
        <v xml:space="preserve"> </v>
      </c>
      <c r="N116" s="51" t="str">
        <f t="shared" si="10"/>
        <v xml:space="preserve"> </v>
      </c>
      <c r="O116" s="51"/>
      <c r="P116" s="51" t="str">
        <f t="shared" si="11"/>
        <v xml:space="preserve"> </v>
      </c>
    </row>
    <row r="117" spans="3:16" ht="15" x14ac:dyDescent="0.25">
      <c r="C117" s="93"/>
      <c r="H117" s="50" t="str">
        <f t="shared" si="12"/>
        <v xml:space="preserve"> </v>
      </c>
      <c r="I117" s="50"/>
      <c r="J117" s="51" t="str">
        <f t="shared" si="7"/>
        <v/>
      </c>
      <c r="K117" s="51" t="str">
        <f t="shared" si="8"/>
        <v/>
      </c>
      <c r="L117" s="106" t="str">
        <f t="shared" si="13"/>
        <v xml:space="preserve"> </v>
      </c>
      <c r="M117" s="106" t="str">
        <f t="shared" si="9"/>
        <v xml:space="preserve"> </v>
      </c>
      <c r="N117" s="51" t="str">
        <f t="shared" si="10"/>
        <v xml:space="preserve"> </v>
      </c>
      <c r="O117" s="51"/>
      <c r="P117" s="51" t="str">
        <f t="shared" si="11"/>
        <v xml:space="preserve"> </v>
      </c>
    </row>
    <row r="118" spans="3:16" ht="15" x14ac:dyDescent="0.25">
      <c r="C118" s="93"/>
      <c r="H118" s="50" t="str">
        <f t="shared" si="12"/>
        <v xml:space="preserve"> </v>
      </c>
      <c r="I118" s="50"/>
      <c r="J118" s="51" t="str">
        <f t="shared" si="7"/>
        <v/>
      </c>
      <c r="K118" s="51" t="str">
        <f t="shared" si="8"/>
        <v/>
      </c>
      <c r="L118" s="106" t="str">
        <f t="shared" si="13"/>
        <v xml:space="preserve"> </v>
      </c>
      <c r="M118" s="106" t="str">
        <f t="shared" si="9"/>
        <v xml:space="preserve"> </v>
      </c>
      <c r="N118" s="51" t="str">
        <f t="shared" si="10"/>
        <v xml:space="preserve"> </v>
      </c>
      <c r="O118" s="51"/>
      <c r="P118" s="51" t="str">
        <f t="shared" si="11"/>
        <v xml:space="preserve"> </v>
      </c>
    </row>
    <row r="119" spans="3:16" ht="15" x14ac:dyDescent="0.25">
      <c r="C119" s="93"/>
      <c r="H119" s="50" t="str">
        <f t="shared" si="12"/>
        <v xml:space="preserve"> </v>
      </c>
      <c r="I119" s="50"/>
      <c r="J119" s="51" t="str">
        <f t="shared" si="7"/>
        <v/>
      </c>
      <c r="K119" s="51" t="str">
        <f t="shared" si="8"/>
        <v/>
      </c>
      <c r="L119" s="106" t="str">
        <f t="shared" si="13"/>
        <v xml:space="preserve"> </v>
      </c>
      <c r="M119" s="106" t="str">
        <f t="shared" si="9"/>
        <v xml:space="preserve"> </v>
      </c>
      <c r="N119" s="51" t="str">
        <f t="shared" si="10"/>
        <v xml:space="preserve"> </v>
      </c>
      <c r="O119" s="51"/>
      <c r="P119" s="51" t="str">
        <f t="shared" si="11"/>
        <v xml:space="preserve"> </v>
      </c>
    </row>
    <row r="120" spans="3:16" ht="15" x14ac:dyDescent="0.25">
      <c r="C120" s="93"/>
      <c r="H120" s="50" t="str">
        <f t="shared" si="12"/>
        <v xml:space="preserve"> </v>
      </c>
      <c r="I120" s="50"/>
      <c r="J120" s="51" t="str">
        <f t="shared" si="7"/>
        <v/>
      </c>
      <c r="K120" s="51" t="str">
        <f t="shared" si="8"/>
        <v/>
      </c>
      <c r="L120" s="106" t="str">
        <f t="shared" si="13"/>
        <v xml:space="preserve"> </v>
      </c>
      <c r="M120" s="106" t="str">
        <f t="shared" si="9"/>
        <v xml:space="preserve"> </v>
      </c>
      <c r="N120" s="51" t="str">
        <f t="shared" si="10"/>
        <v xml:space="preserve"> </v>
      </c>
      <c r="O120" s="51"/>
      <c r="P120" s="51" t="str">
        <f t="shared" si="11"/>
        <v xml:space="preserve"> </v>
      </c>
    </row>
    <row r="121" spans="3:16" ht="15" x14ac:dyDescent="0.25">
      <c r="C121" s="93"/>
      <c r="H121" s="50" t="str">
        <f t="shared" si="12"/>
        <v xml:space="preserve"> </v>
      </c>
      <c r="I121" s="50"/>
      <c r="J121" s="51" t="str">
        <f t="shared" si="7"/>
        <v/>
      </c>
      <c r="K121" s="51" t="str">
        <f t="shared" si="8"/>
        <v/>
      </c>
      <c r="L121" s="106" t="str">
        <f t="shared" si="13"/>
        <v xml:space="preserve"> </v>
      </c>
      <c r="M121" s="106" t="str">
        <f t="shared" si="9"/>
        <v xml:space="preserve"> </v>
      </c>
      <c r="N121" s="51" t="str">
        <f t="shared" si="10"/>
        <v xml:space="preserve"> </v>
      </c>
      <c r="O121" s="51"/>
      <c r="P121" s="51" t="str">
        <f t="shared" si="11"/>
        <v xml:space="preserve"> </v>
      </c>
    </row>
    <row r="122" spans="3:16" ht="15" x14ac:dyDescent="0.25">
      <c r="C122" s="93"/>
      <c r="H122" s="50" t="str">
        <f t="shared" si="12"/>
        <v xml:space="preserve"> </v>
      </c>
      <c r="I122" s="50"/>
      <c r="J122" s="51" t="str">
        <f t="shared" si="7"/>
        <v/>
      </c>
      <c r="K122" s="51" t="str">
        <f t="shared" si="8"/>
        <v/>
      </c>
      <c r="L122" s="106" t="str">
        <f t="shared" si="13"/>
        <v xml:space="preserve"> </v>
      </c>
      <c r="M122" s="106" t="str">
        <f t="shared" si="9"/>
        <v xml:space="preserve"> </v>
      </c>
      <c r="N122" s="51" t="str">
        <f t="shared" si="10"/>
        <v xml:space="preserve"> </v>
      </c>
      <c r="O122" s="51"/>
      <c r="P122" s="51" t="str">
        <f t="shared" si="11"/>
        <v xml:space="preserve"> </v>
      </c>
    </row>
    <row r="123" spans="3:16" ht="15" x14ac:dyDescent="0.25">
      <c r="C123" s="93"/>
      <c r="H123" s="50" t="str">
        <f t="shared" si="12"/>
        <v xml:space="preserve"> </v>
      </c>
      <c r="I123" s="50"/>
      <c r="J123" s="51" t="str">
        <f t="shared" si="7"/>
        <v/>
      </c>
      <c r="K123" s="51" t="str">
        <f t="shared" si="8"/>
        <v/>
      </c>
      <c r="L123" s="106" t="str">
        <f t="shared" si="13"/>
        <v xml:space="preserve"> </v>
      </c>
      <c r="M123" s="106" t="str">
        <f t="shared" si="9"/>
        <v xml:space="preserve"> </v>
      </c>
      <c r="N123" s="51" t="str">
        <f t="shared" si="10"/>
        <v xml:space="preserve"> </v>
      </c>
      <c r="O123" s="51"/>
      <c r="P123" s="51" t="str">
        <f t="shared" si="11"/>
        <v xml:space="preserve"> </v>
      </c>
    </row>
    <row r="124" spans="3:16" ht="15" x14ac:dyDescent="0.25">
      <c r="C124" s="93"/>
      <c r="H124" s="50" t="str">
        <f t="shared" si="12"/>
        <v xml:space="preserve"> </v>
      </c>
      <c r="I124" s="50"/>
      <c r="J124" s="51" t="str">
        <f t="shared" si="7"/>
        <v/>
      </c>
      <c r="K124" s="51" t="str">
        <f t="shared" si="8"/>
        <v/>
      </c>
      <c r="L124" s="106" t="str">
        <f t="shared" si="13"/>
        <v xml:space="preserve"> </v>
      </c>
      <c r="M124" s="106" t="str">
        <f t="shared" si="9"/>
        <v xml:space="preserve"> </v>
      </c>
      <c r="N124" s="51" t="str">
        <f t="shared" si="10"/>
        <v xml:space="preserve"> </v>
      </c>
      <c r="O124" s="51"/>
      <c r="P124" s="51" t="str">
        <f t="shared" si="11"/>
        <v xml:space="preserve"> </v>
      </c>
    </row>
    <row r="125" spans="3:16" ht="15" x14ac:dyDescent="0.25">
      <c r="C125" s="93"/>
      <c r="H125" s="50" t="str">
        <f t="shared" si="12"/>
        <v xml:space="preserve"> </v>
      </c>
      <c r="I125" s="50"/>
      <c r="J125" s="51" t="str">
        <f t="shared" si="7"/>
        <v/>
      </c>
      <c r="K125" s="51" t="str">
        <f t="shared" si="8"/>
        <v/>
      </c>
      <c r="L125" s="106" t="str">
        <f t="shared" si="13"/>
        <v xml:space="preserve"> </v>
      </c>
      <c r="M125" s="106" t="str">
        <f t="shared" si="9"/>
        <v xml:space="preserve"> </v>
      </c>
      <c r="N125" s="51" t="str">
        <f t="shared" si="10"/>
        <v xml:space="preserve"> </v>
      </c>
      <c r="O125" s="51"/>
      <c r="P125" s="51" t="str">
        <f t="shared" si="11"/>
        <v xml:space="preserve"> </v>
      </c>
    </row>
    <row r="126" spans="3:16" ht="15" x14ac:dyDescent="0.25">
      <c r="C126" s="93"/>
      <c r="H126" s="50" t="str">
        <f t="shared" si="12"/>
        <v xml:space="preserve"> </v>
      </c>
      <c r="I126" s="50"/>
      <c r="J126" s="51" t="str">
        <f t="shared" si="7"/>
        <v/>
      </c>
      <c r="K126" s="51" t="str">
        <f t="shared" si="8"/>
        <v/>
      </c>
      <c r="L126" s="106" t="str">
        <f t="shared" si="13"/>
        <v xml:space="preserve"> </v>
      </c>
      <c r="M126" s="106" t="str">
        <f t="shared" si="9"/>
        <v xml:space="preserve"> </v>
      </c>
      <c r="N126" s="51" t="str">
        <f t="shared" si="10"/>
        <v xml:space="preserve"> </v>
      </c>
      <c r="O126" s="51"/>
      <c r="P126" s="51" t="str">
        <f t="shared" si="11"/>
        <v xml:space="preserve"> </v>
      </c>
    </row>
    <row r="127" spans="3:16" ht="15" x14ac:dyDescent="0.25">
      <c r="C127" s="93"/>
      <c r="H127" s="50" t="str">
        <f t="shared" si="12"/>
        <v xml:space="preserve"> </v>
      </c>
      <c r="I127" s="50"/>
      <c r="J127" s="51" t="str">
        <f t="shared" si="7"/>
        <v/>
      </c>
      <c r="K127" s="51" t="str">
        <f t="shared" si="8"/>
        <v/>
      </c>
      <c r="L127" s="106" t="str">
        <f t="shared" si="13"/>
        <v xml:space="preserve"> </v>
      </c>
      <c r="M127" s="106" t="str">
        <f t="shared" si="9"/>
        <v xml:space="preserve"> </v>
      </c>
      <c r="N127" s="51" t="str">
        <f t="shared" si="10"/>
        <v xml:space="preserve"> </v>
      </c>
      <c r="O127" s="51"/>
      <c r="P127" s="51" t="str">
        <f t="shared" si="11"/>
        <v xml:space="preserve"> </v>
      </c>
    </row>
    <row r="128" spans="3:16" ht="15" x14ac:dyDescent="0.25">
      <c r="C128" s="93"/>
      <c r="H128" s="50" t="str">
        <f t="shared" si="12"/>
        <v xml:space="preserve"> </v>
      </c>
      <c r="I128" s="50"/>
      <c r="J128" s="51" t="str">
        <f t="shared" si="7"/>
        <v/>
      </c>
      <c r="K128" s="51" t="str">
        <f t="shared" si="8"/>
        <v/>
      </c>
      <c r="L128" s="106" t="str">
        <f t="shared" si="13"/>
        <v xml:space="preserve"> </v>
      </c>
      <c r="M128" s="106" t="str">
        <f t="shared" si="9"/>
        <v xml:space="preserve"> </v>
      </c>
      <c r="N128" s="51" t="str">
        <f t="shared" si="10"/>
        <v xml:space="preserve"> </v>
      </c>
      <c r="O128" s="51"/>
      <c r="P128" s="51" t="str">
        <f t="shared" si="11"/>
        <v xml:space="preserve"> </v>
      </c>
    </row>
    <row r="129" spans="3:16" ht="15" x14ac:dyDescent="0.25">
      <c r="C129" s="93"/>
      <c r="H129" s="50" t="str">
        <f t="shared" si="12"/>
        <v xml:space="preserve"> </v>
      </c>
      <c r="I129" s="50"/>
      <c r="J129" s="51" t="str">
        <f t="shared" si="7"/>
        <v/>
      </c>
      <c r="K129" s="51" t="str">
        <f t="shared" si="8"/>
        <v/>
      </c>
      <c r="L129" s="106" t="str">
        <f t="shared" si="13"/>
        <v xml:space="preserve"> </v>
      </c>
      <c r="M129" s="106" t="str">
        <f t="shared" si="9"/>
        <v xml:space="preserve"> </v>
      </c>
      <c r="N129" s="51" t="str">
        <f t="shared" si="10"/>
        <v xml:space="preserve"> </v>
      </c>
      <c r="O129" s="51"/>
      <c r="P129" s="51" t="str">
        <f t="shared" si="11"/>
        <v xml:space="preserve"> </v>
      </c>
    </row>
    <row r="130" spans="3:16" ht="15" x14ac:dyDescent="0.25">
      <c r="C130" s="93"/>
      <c r="H130" s="50" t="str">
        <f t="shared" si="12"/>
        <v xml:space="preserve"> </v>
      </c>
      <c r="I130" s="50"/>
      <c r="J130" s="51" t="str">
        <f t="shared" si="7"/>
        <v/>
      </c>
      <c r="K130" s="51" t="str">
        <f t="shared" si="8"/>
        <v/>
      </c>
      <c r="L130" s="106" t="str">
        <f t="shared" si="13"/>
        <v xml:space="preserve"> </v>
      </c>
      <c r="M130" s="106" t="str">
        <f t="shared" si="9"/>
        <v xml:space="preserve"> </v>
      </c>
      <c r="N130" s="51" t="str">
        <f t="shared" si="10"/>
        <v xml:space="preserve"> </v>
      </c>
      <c r="O130" s="51"/>
      <c r="P130" s="51" t="str">
        <f t="shared" si="11"/>
        <v xml:space="preserve"> </v>
      </c>
    </row>
    <row r="131" spans="3:16" ht="15" x14ac:dyDescent="0.25">
      <c r="C131" s="93"/>
      <c r="H131" s="50" t="str">
        <f t="shared" si="12"/>
        <v xml:space="preserve"> </v>
      </c>
      <c r="I131" s="50"/>
      <c r="J131" s="51" t="str">
        <f t="shared" si="7"/>
        <v/>
      </c>
      <c r="K131" s="51" t="str">
        <f t="shared" si="8"/>
        <v/>
      </c>
      <c r="L131" s="106" t="str">
        <f t="shared" si="13"/>
        <v xml:space="preserve"> </v>
      </c>
      <c r="M131" s="106" t="str">
        <f t="shared" si="9"/>
        <v xml:space="preserve"> </v>
      </c>
      <c r="N131" s="51" t="str">
        <f t="shared" si="10"/>
        <v xml:space="preserve"> </v>
      </c>
      <c r="O131" s="51"/>
      <c r="P131" s="51" t="str">
        <f t="shared" si="11"/>
        <v xml:space="preserve"> </v>
      </c>
    </row>
    <row r="132" spans="3:16" ht="15" x14ac:dyDescent="0.25">
      <c r="C132" s="93"/>
      <c r="H132" s="50" t="str">
        <f t="shared" si="12"/>
        <v xml:space="preserve"> </v>
      </c>
      <c r="I132" s="50"/>
      <c r="J132" s="51" t="str">
        <f t="shared" si="7"/>
        <v/>
      </c>
      <c r="K132" s="51" t="str">
        <f t="shared" si="8"/>
        <v/>
      </c>
      <c r="L132" s="106" t="str">
        <f t="shared" si="13"/>
        <v xml:space="preserve"> </v>
      </c>
      <c r="M132" s="106" t="str">
        <f t="shared" si="9"/>
        <v xml:space="preserve"> </v>
      </c>
      <c r="N132" s="51" t="str">
        <f t="shared" si="10"/>
        <v xml:space="preserve"> </v>
      </c>
      <c r="O132" s="51"/>
      <c r="P132" s="51" t="str">
        <f t="shared" si="11"/>
        <v xml:space="preserve"> </v>
      </c>
    </row>
    <row r="133" spans="3:16" ht="15" x14ac:dyDescent="0.25">
      <c r="C133" s="93"/>
      <c r="H133" s="50" t="str">
        <f t="shared" si="12"/>
        <v xml:space="preserve"> </v>
      </c>
      <c r="I133" s="50"/>
      <c r="J133" s="51" t="str">
        <f t="shared" si="7"/>
        <v/>
      </c>
      <c r="K133" s="51" t="str">
        <f t="shared" si="8"/>
        <v/>
      </c>
      <c r="L133" s="106" t="str">
        <f t="shared" si="13"/>
        <v xml:space="preserve"> </v>
      </c>
      <c r="M133" s="106" t="str">
        <f t="shared" si="9"/>
        <v xml:space="preserve"> </v>
      </c>
      <c r="N133" s="51" t="str">
        <f t="shared" si="10"/>
        <v xml:space="preserve"> </v>
      </c>
      <c r="O133" s="51"/>
      <c r="P133" s="51" t="str">
        <f t="shared" si="11"/>
        <v xml:space="preserve"> </v>
      </c>
    </row>
    <row r="134" spans="3:16" ht="15" x14ac:dyDescent="0.25">
      <c r="C134" s="93"/>
      <c r="H134" s="50" t="str">
        <f t="shared" si="12"/>
        <v xml:space="preserve"> </v>
      </c>
      <c r="I134" s="50"/>
      <c r="J134" s="51" t="str">
        <f t="shared" si="7"/>
        <v/>
      </c>
      <c r="K134" s="51" t="str">
        <f t="shared" si="8"/>
        <v/>
      </c>
      <c r="L134" s="106" t="str">
        <f t="shared" si="13"/>
        <v xml:space="preserve"> </v>
      </c>
      <c r="M134" s="106" t="str">
        <f t="shared" si="9"/>
        <v xml:space="preserve"> </v>
      </c>
      <c r="N134" s="51" t="str">
        <f t="shared" si="10"/>
        <v xml:space="preserve"> </v>
      </c>
      <c r="O134" s="51"/>
      <c r="P134" s="51" t="str">
        <f t="shared" si="11"/>
        <v xml:space="preserve"> </v>
      </c>
    </row>
    <row r="135" spans="3:16" ht="15" x14ac:dyDescent="0.25">
      <c r="C135" s="93"/>
      <c r="H135" s="50" t="str">
        <f t="shared" si="12"/>
        <v xml:space="preserve"> </v>
      </c>
      <c r="I135" s="50"/>
      <c r="J135" s="51" t="str">
        <f t="shared" si="7"/>
        <v/>
      </c>
      <c r="K135" s="51" t="str">
        <f t="shared" si="8"/>
        <v/>
      </c>
      <c r="L135" s="106" t="str">
        <f t="shared" si="13"/>
        <v xml:space="preserve"> </v>
      </c>
      <c r="M135" s="106" t="str">
        <f t="shared" si="9"/>
        <v xml:space="preserve"> </v>
      </c>
      <c r="N135" s="51" t="str">
        <f t="shared" si="10"/>
        <v xml:space="preserve"> </v>
      </c>
      <c r="O135" s="51"/>
      <c r="P135" s="51" t="str">
        <f t="shared" si="11"/>
        <v xml:space="preserve"> </v>
      </c>
    </row>
    <row r="136" spans="3:16" ht="15" x14ac:dyDescent="0.25">
      <c r="C136" s="93"/>
      <c r="H136" s="50" t="str">
        <f t="shared" si="12"/>
        <v xml:space="preserve"> </v>
      </c>
      <c r="I136" s="50"/>
      <c r="J136" s="51" t="str">
        <f t="shared" si="7"/>
        <v/>
      </c>
      <c r="K136" s="51" t="str">
        <f t="shared" si="8"/>
        <v/>
      </c>
      <c r="L136" s="106" t="str">
        <f t="shared" si="13"/>
        <v xml:space="preserve"> </v>
      </c>
      <c r="M136" s="106" t="str">
        <f t="shared" si="9"/>
        <v xml:space="preserve"> </v>
      </c>
      <c r="N136" s="51" t="str">
        <f t="shared" si="10"/>
        <v xml:space="preserve"> </v>
      </c>
      <c r="O136" s="51"/>
      <c r="P136" s="51" t="str">
        <f t="shared" si="11"/>
        <v xml:space="preserve"> </v>
      </c>
    </row>
    <row r="137" spans="3:16" ht="15" x14ac:dyDescent="0.25">
      <c r="C137" s="93"/>
      <c r="H137" s="50" t="str">
        <f t="shared" si="12"/>
        <v xml:space="preserve"> </v>
      </c>
      <c r="I137" s="50"/>
      <c r="J137" s="51" t="str">
        <f t="shared" si="7"/>
        <v/>
      </c>
      <c r="K137" s="51" t="str">
        <f t="shared" si="8"/>
        <v/>
      </c>
      <c r="L137" s="106" t="str">
        <f t="shared" si="13"/>
        <v xml:space="preserve"> </v>
      </c>
      <c r="M137" s="106" t="str">
        <f t="shared" si="9"/>
        <v xml:space="preserve"> </v>
      </c>
      <c r="N137" s="51" t="str">
        <f t="shared" si="10"/>
        <v xml:space="preserve"> </v>
      </c>
      <c r="O137" s="51"/>
      <c r="P137" s="51" t="str">
        <f t="shared" si="11"/>
        <v xml:space="preserve"> </v>
      </c>
    </row>
    <row r="138" spans="3:16" ht="15" x14ac:dyDescent="0.25">
      <c r="C138" s="93"/>
      <c r="H138" s="50" t="str">
        <f t="shared" si="12"/>
        <v xml:space="preserve"> </v>
      </c>
      <c r="I138" s="50"/>
      <c r="J138" s="51" t="str">
        <f t="shared" si="7"/>
        <v/>
      </c>
      <c r="K138" s="51" t="str">
        <f t="shared" si="8"/>
        <v/>
      </c>
      <c r="L138" s="106" t="str">
        <f t="shared" si="13"/>
        <v xml:space="preserve"> </v>
      </c>
      <c r="M138" s="106" t="str">
        <f t="shared" si="9"/>
        <v xml:space="preserve"> </v>
      </c>
      <c r="N138" s="51" t="str">
        <f t="shared" si="10"/>
        <v xml:space="preserve"> </v>
      </c>
      <c r="O138" s="51"/>
      <c r="P138" s="51" t="str">
        <f t="shared" si="11"/>
        <v xml:space="preserve"> </v>
      </c>
    </row>
    <row r="139" spans="3:16" ht="15" x14ac:dyDescent="0.25">
      <c r="C139" s="93"/>
      <c r="H139" s="50" t="str">
        <f t="shared" si="12"/>
        <v xml:space="preserve"> </v>
      </c>
      <c r="I139" s="50"/>
      <c r="J139" s="51" t="str">
        <f t="shared" si="7"/>
        <v/>
      </c>
      <c r="K139" s="51" t="str">
        <f t="shared" si="8"/>
        <v/>
      </c>
      <c r="L139" s="106" t="str">
        <f t="shared" si="13"/>
        <v xml:space="preserve"> </v>
      </c>
      <c r="M139" s="106" t="str">
        <f t="shared" si="9"/>
        <v xml:space="preserve"> </v>
      </c>
      <c r="N139" s="51" t="str">
        <f t="shared" si="10"/>
        <v xml:space="preserve"> </v>
      </c>
      <c r="O139" s="51"/>
      <c r="P139" s="51" t="str">
        <f t="shared" si="11"/>
        <v xml:space="preserve"> </v>
      </c>
    </row>
    <row r="140" spans="3:16" ht="15" x14ac:dyDescent="0.25">
      <c r="C140" s="93"/>
      <c r="H140" s="50" t="str">
        <f t="shared" si="12"/>
        <v xml:space="preserve"> </v>
      </c>
      <c r="I140" s="50"/>
      <c r="J140" s="51" t="str">
        <f t="shared" si="7"/>
        <v/>
      </c>
      <c r="K140" s="51" t="str">
        <f t="shared" si="8"/>
        <v/>
      </c>
      <c r="L140" s="106" t="str">
        <f t="shared" si="13"/>
        <v xml:space="preserve"> </v>
      </c>
      <c r="M140" s="106" t="str">
        <f t="shared" si="9"/>
        <v xml:space="preserve"> </v>
      </c>
      <c r="N140" s="51" t="str">
        <f t="shared" si="10"/>
        <v xml:space="preserve"> </v>
      </c>
      <c r="O140" s="51"/>
      <c r="P140" s="51" t="str">
        <f t="shared" si="11"/>
        <v xml:space="preserve"> </v>
      </c>
    </row>
    <row r="141" spans="3:16" ht="15" x14ac:dyDescent="0.25">
      <c r="C141" s="93"/>
      <c r="H141" s="50" t="str">
        <f t="shared" si="12"/>
        <v xml:space="preserve"> </v>
      </c>
      <c r="I141" s="50"/>
      <c r="J141" s="51" t="str">
        <f t="shared" si="7"/>
        <v/>
      </c>
      <c r="K141" s="51" t="str">
        <f t="shared" si="8"/>
        <v/>
      </c>
      <c r="L141" s="106" t="str">
        <f t="shared" si="13"/>
        <v xml:space="preserve"> </v>
      </c>
      <c r="M141" s="106" t="str">
        <f t="shared" si="9"/>
        <v xml:space="preserve"> </v>
      </c>
      <c r="N141" s="51" t="str">
        <f t="shared" si="10"/>
        <v xml:space="preserve"> </v>
      </c>
      <c r="O141" s="51"/>
      <c r="P141" s="51" t="str">
        <f t="shared" si="11"/>
        <v xml:space="preserve"> </v>
      </c>
    </row>
    <row r="142" spans="3:16" ht="15" x14ac:dyDescent="0.25">
      <c r="C142" s="93"/>
      <c r="H142" s="50" t="str">
        <f t="shared" si="12"/>
        <v xml:space="preserve"> </v>
      </c>
      <c r="I142" s="50"/>
      <c r="J142" s="51" t="str">
        <f t="shared" si="7"/>
        <v/>
      </c>
      <c r="K142" s="51" t="str">
        <f t="shared" si="8"/>
        <v/>
      </c>
      <c r="L142" s="106" t="str">
        <f t="shared" si="13"/>
        <v xml:space="preserve"> </v>
      </c>
      <c r="M142" s="106" t="str">
        <f t="shared" si="9"/>
        <v xml:space="preserve"> </v>
      </c>
      <c r="N142" s="51" t="str">
        <f t="shared" si="10"/>
        <v xml:space="preserve"> </v>
      </c>
      <c r="O142" s="51"/>
      <c r="P142" s="51" t="str">
        <f t="shared" si="11"/>
        <v xml:space="preserve"> </v>
      </c>
    </row>
    <row r="143" spans="3:16" ht="15" x14ac:dyDescent="0.25">
      <c r="C143" s="93"/>
      <c r="H143" s="50" t="str">
        <f t="shared" si="12"/>
        <v xml:space="preserve"> </v>
      </c>
      <c r="I143" s="50"/>
      <c r="J143" s="51" t="str">
        <f t="shared" si="7"/>
        <v/>
      </c>
      <c r="K143" s="51" t="str">
        <f t="shared" si="8"/>
        <v/>
      </c>
      <c r="L143" s="106" t="str">
        <f t="shared" si="13"/>
        <v xml:space="preserve"> </v>
      </c>
      <c r="M143" s="106" t="str">
        <f t="shared" si="9"/>
        <v xml:space="preserve"> </v>
      </c>
      <c r="N143" s="51" t="str">
        <f t="shared" si="10"/>
        <v xml:space="preserve"> </v>
      </c>
      <c r="O143" s="51"/>
      <c r="P143" s="51" t="str">
        <f t="shared" si="11"/>
        <v xml:space="preserve"> </v>
      </c>
    </row>
    <row r="144" spans="3:16" ht="15" x14ac:dyDescent="0.25">
      <c r="C144" s="93"/>
      <c r="H144" s="50" t="str">
        <f t="shared" si="12"/>
        <v xml:space="preserve"> </v>
      </c>
      <c r="I144" s="50"/>
      <c r="J144" s="51" t="str">
        <f t="shared" si="7"/>
        <v/>
      </c>
      <c r="K144" s="51" t="str">
        <f t="shared" si="8"/>
        <v/>
      </c>
      <c r="L144" s="106" t="str">
        <f t="shared" si="13"/>
        <v xml:space="preserve"> </v>
      </c>
      <c r="M144" s="106" t="str">
        <f t="shared" si="9"/>
        <v xml:space="preserve"> </v>
      </c>
      <c r="N144" s="51" t="str">
        <f t="shared" si="10"/>
        <v xml:space="preserve"> </v>
      </c>
      <c r="O144" s="51"/>
      <c r="P144" s="51" t="str">
        <f t="shared" si="11"/>
        <v xml:space="preserve"> </v>
      </c>
    </row>
    <row r="145" spans="3:16" ht="15" x14ac:dyDescent="0.25">
      <c r="C145" s="93"/>
      <c r="H145" s="50" t="str">
        <f t="shared" si="12"/>
        <v xml:space="preserve"> </v>
      </c>
      <c r="I145" s="50"/>
      <c r="J145" s="51" t="str">
        <f t="shared" si="7"/>
        <v/>
      </c>
      <c r="K145" s="51" t="str">
        <f t="shared" si="8"/>
        <v/>
      </c>
      <c r="L145" s="106" t="str">
        <f t="shared" si="13"/>
        <v xml:space="preserve"> </v>
      </c>
      <c r="M145" s="106" t="str">
        <f t="shared" si="9"/>
        <v xml:space="preserve"> </v>
      </c>
      <c r="N145" s="51" t="str">
        <f t="shared" si="10"/>
        <v xml:space="preserve"> </v>
      </c>
      <c r="O145" s="51"/>
      <c r="P145" s="51" t="str">
        <f t="shared" si="11"/>
        <v xml:space="preserve"> </v>
      </c>
    </row>
    <row r="146" spans="3:16" ht="15" x14ac:dyDescent="0.25">
      <c r="C146" s="93"/>
      <c r="H146" s="50" t="str">
        <f t="shared" si="12"/>
        <v xml:space="preserve"> </v>
      </c>
      <c r="I146" s="50"/>
      <c r="J146" s="51" t="str">
        <f t="shared" si="7"/>
        <v/>
      </c>
      <c r="K146" s="51" t="str">
        <f t="shared" si="8"/>
        <v/>
      </c>
      <c r="L146" s="106" t="str">
        <f t="shared" si="13"/>
        <v xml:space="preserve"> </v>
      </c>
      <c r="M146" s="106" t="str">
        <f t="shared" si="9"/>
        <v xml:space="preserve"> </v>
      </c>
      <c r="N146" s="51" t="str">
        <f t="shared" si="10"/>
        <v xml:space="preserve"> </v>
      </c>
      <c r="O146" s="51"/>
      <c r="P146" s="51" t="str">
        <f t="shared" si="11"/>
        <v xml:space="preserve"> </v>
      </c>
    </row>
    <row r="147" spans="3:16" ht="15" x14ac:dyDescent="0.25">
      <c r="C147" s="93"/>
      <c r="H147" s="50" t="str">
        <f t="shared" si="12"/>
        <v xml:space="preserve"> </v>
      </c>
      <c r="I147" s="50"/>
      <c r="J147" s="51" t="str">
        <f t="shared" ref="J147:J210" si="14">IF(H147&lt;&gt;$D$33,"",IF($D$23="Quincenal",$I$17*(1+$D$35*30/360)^($D$33/2),IF($D$23="Mensual",$I$17*(1+$D$35*30/360)^$D$33,IF($D$23="Bimensual",$I$17*(1+$D$35*30/360)^($D$33*2),IF($D$23="Trimestral",$I$17*(1+$D$35*30/360)^($D$33*3),IF($D$23="Cuatrimestral",$I$17*(1+$D$35*30/360)^($D$33*4),IF($D$23="Semestral",$I$17*(1+$D$35*30/360)^($D$33*6),IF($D$23="Anual",$I$17*(1+$D$35*30/360)^($D$33*12)))))))))</f>
        <v/>
      </c>
      <c r="K147" s="51" t="str">
        <f t="shared" ref="K147:K210" si="15">IF(H146&lt;=$U$17,IF(credito="Francesa",IF(H147&lt;=$U$17,$K146,0),IF(credito="Alemana",IF(H147&lt;=$U$17,L147+M147,0))),"")</f>
        <v/>
      </c>
      <c r="L147" s="106" t="str">
        <f t="shared" si="13"/>
        <v xml:space="preserve"> </v>
      </c>
      <c r="M147" s="106" t="str">
        <f t="shared" ref="M147:M210" si="16">IF(H147&lt;=$U$17,IF(credito="Francesa",K147-L147,IF(credito="Alemana",IF(H147&lt;=$U$17,$M146,0)))," ")</f>
        <v xml:space="preserve"> </v>
      </c>
      <c r="N147" s="51" t="str">
        <f t="shared" ref="N147:N210" si="17">IF(H147&lt;=$U$17,N146-M147," ")</f>
        <v xml:space="preserve"> </v>
      </c>
      <c r="O147" s="51"/>
      <c r="P147" s="51" t="str">
        <f t="shared" ref="P147:P210" si="18">IFERROR(SUM(IF(H147&lt;=$U$17,-K147," "),J147)," ")</f>
        <v xml:space="preserve"> </v>
      </c>
    </row>
    <row r="148" spans="3:16" ht="15" x14ac:dyDescent="0.25">
      <c r="C148" s="93"/>
      <c r="H148" s="50" t="str">
        <f t="shared" ref="H148:H211" si="19">IF($H147&gt;=$U$17," ",H147+1)</f>
        <v xml:space="preserve"> </v>
      </c>
      <c r="I148" s="50"/>
      <c r="J148" s="51" t="str">
        <f t="shared" si="14"/>
        <v/>
      </c>
      <c r="K148" s="51" t="str">
        <f t="shared" si="15"/>
        <v/>
      </c>
      <c r="L148" s="106" t="str">
        <f t="shared" ref="L148:L211" si="20">IF(H148&lt;=$U$17,N147*$D$28/$D$24," ")</f>
        <v xml:space="preserve"> </v>
      </c>
      <c r="M148" s="106" t="str">
        <f t="shared" si="16"/>
        <v xml:space="preserve"> </v>
      </c>
      <c r="N148" s="51" t="str">
        <f t="shared" si="17"/>
        <v xml:space="preserve"> </v>
      </c>
      <c r="O148" s="51"/>
      <c r="P148" s="51" t="str">
        <f t="shared" si="18"/>
        <v xml:space="preserve"> </v>
      </c>
    </row>
    <row r="149" spans="3:16" ht="15" x14ac:dyDescent="0.25">
      <c r="C149" s="93"/>
      <c r="H149" s="50" t="str">
        <f t="shared" si="19"/>
        <v xml:space="preserve"> </v>
      </c>
      <c r="I149" s="50"/>
      <c r="J149" s="51" t="str">
        <f t="shared" si="14"/>
        <v/>
      </c>
      <c r="K149" s="51" t="str">
        <f t="shared" si="15"/>
        <v/>
      </c>
      <c r="L149" s="106" t="str">
        <f t="shared" si="20"/>
        <v xml:space="preserve"> </v>
      </c>
      <c r="M149" s="106" t="str">
        <f t="shared" si="16"/>
        <v xml:space="preserve"> </v>
      </c>
      <c r="N149" s="51" t="str">
        <f t="shared" si="17"/>
        <v xml:space="preserve"> </v>
      </c>
      <c r="O149" s="51"/>
      <c r="P149" s="51" t="str">
        <f t="shared" si="18"/>
        <v xml:space="preserve"> </v>
      </c>
    </row>
    <row r="150" spans="3:16" ht="15" x14ac:dyDescent="0.25">
      <c r="C150" s="93"/>
      <c r="H150" s="50" t="str">
        <f t="shared" si="19"/>
        <v xml:space="preserve"> </v>
      </c>
      <c r="I150" s="50"/>
      <c r="J150" s="51" t="str">
        <f t="shared" si="14"/>
        <v/>
      </c>
      <c r="K150" s="51" t="str">
        <f t="shared" si="15"/>
        <v/>
      </c>
      <c r="L150" s="106" t="str">
        <f t="shared" si="20"/>
        <v xml:space="preserve"> </v>
      </c>
      <c r="M150" s="106" t="str">
        <f t="shared" si="16"/>
        <v xml:space="preserve"> </v>
      </c>
      <c r="N150" s="51" t="str">
        <f t="shared" si="17"/>
        <v xml:space="preserve"> </v>
      </c>
      <c r="O150" s="51"/>
      <c r="P150" s="51" t="str">
        <f t="shared" si="18"/>
        <v xml:space="preserve"> </v>
      </c>
    </row>
    <row r="151" spans="3:16" ht="15" x14ac:dyDescent="0.25">
      <c r="C151" s="93"/>
      <c r="H151" s="50" t="str">
        <f t="shared" si="19"/>
        <v xml:space="preserve"> </v>
      </c>
      <c r="I151" s="50"/>
      <c r="J151" s="51" t="str">
        <f t="shared" si="14"/>
        <v/>
      </c>
      <c r="K151" s="51" t="str">
        <f t="shared" si="15"/>
        <v/>
      </c>
      <c r="L151" s="106" t="str">
        <f t="shared" si="20"/>
        <v xml:space="preserve"> </v>
      </c>
      <c r="M151" s="106" t="str">
        <f t="shared" si="16"/>
        <v xml:space="preserve"> </v>
      </c>
      <c r="N151" s="51" t="str">
        <f t="shared" si="17"/>
        <v xml:space="preserve"> </v>
      </c>
      <c r="O151" s="51"/>
      <c r="P151" s="51" t="str">
        <f t="shared" si="18"/>
        <v xml:space="preserve"> </v>
      </c>
    </row>
    <row r="152" spans="3:16" ht="15" x14ac:dyDescent="0.25">
      <c r="C152" s="93"/>
      <c r="H152" s="50" t="str">
        <f t="shared" si="19"/>
        <v xml:space="preserve"> </v>
      </c>
      <c r="I152" s="50"/>
      <c r="J152" s="51" t="str">
        <f t="shared" si="14"/>
        <v/>
      </c>
      <c r="K152" s="51" t="str">
        <f t="shared" si="15"/>
        <v/>
      </c>
      <c r="L152" s="106" t="str">
        <f t="shared" si="20"/>
        <v xml:space="preserve"> </v>
      </c>
      <c r="M152" s="106" t="str">
        <f t="shared" si="16"/>
        <v xml:space="preserve"> </v>
      </c>
      <c r="N152" s="51" t="str">
        <f t="shared" si="17"/>
        <v xml:space="preserve"> </v>
      </c>
      <c r="O152" s="51"/>
      <c r="P152" s="51" t="str">
        <f t="shared" si="18"/>
        <v xml:space="preserve"> </v>
      </c>
    </row>
    <row r="153" spans="3:16" ht="15" x14ac:dyDescent="0.25">
      <c r="C153" s="93"/>
      <c r="H153" s="50" t="str">
        <f t="shared" si="19"/>
        <v xml:space="preserve"> </v>
      </c>
      <c r="I153" s="50"/>
      <c r="J153" s="51" t="str">
        <f t="shared" si="14"/>
        <v/>
      </c>
      <c r="K153" s="51" t="str">
        <f t="shared" si="15"/>
        <v/>
      </c>
      <c r="L153" s="106" t="str">
        <f t="shared" si="20"/>
        <v xml:space="preserve"> </v>
      </c>
      <c r="M153" s="106" t="str">
        <f t="shared" si="16"/>
        <v xml:space="preserve"> </v>
      </c>
      <c r="N153" s="51" t="str">
        <f t="shared" si="17"/>
        <v xml:space="preserve"> </v>
      </c>
      <c r="O153" s="51"/>
      <c r="P153" s="51" t="str">
        <f t="shared" si="18"/>
        <v xml:space="preserve"> </v>
      </c>
    </row>
    <row r="154" spans="3:16" ht="15" x14ac:dyDescent="0.25">
      <c r="C154" s="93"/>
      <c r="H154" s="50" t="str">
        <f t="shared" si="19"/>
        <v xml:space="preserve"> </v>
      </c>
      <c r="I154" s="50"/>
      <c r="J154" s="51" t="str">
        <f t="shared" si="14"/>
        <v/>
      </c>
      <c r="K154" s="51" t="str">
        <f t="shared" si="15"/>
        <v/>
      </c>
      <c r="L154" s="106" t="str">
        <f t="shared" si="20"/>
        <v xml:space="preserve"> </v>
      </c>
      <c r="M154" s="106" t="str">
        <f t="shared" si="16"/>
        <v xml:space="preserve"> </v>
      </c>
      <c r="N154" s="51" t="str">
        <f t="shared" si="17"/>
        <v xml:space="preserve"> </v>
      </c>
      <c r="O154" s="51"/>
      <c r="P154" s="51" t="str">
        <f t="shared" si="18"/>
        <v xml:space="preserve"> </v>
      </c>
    </row>
    <row r="155" spans="3:16" ht="15" x14ac:dyDescent="0.25">
      <c r="C155" s="93"/>
      <c r="H155" s="50" t="str">
        <f t="shared" si="19"/>
        <v xml:space="preserve"> </v>
      </c>
      <c r="I155" s="50"/>
      <c r="J155" s="51" t="str">
        <f t="shared" si="14"/>
        <v/>
      </c>
      <c r="K155" s="51" t="str">
        <f t="shared" si="15"/>
        <v/>
      </c>
      <c r="L155" s="106" t="str">
        <f t="shared" si="20"/>
        <v xml:space="preserve"> </v>
      </c>
      <c r="M155" s="106" t="str">
        <f t="shared" si="16"/>
        <v xml:space="preserve"> </v>
      </c>
      <c r="N155" s="51" t="str">
        <f t="shared" si="17"/>
        <v xml:space="preserve"> </v>
      </c>
      <c r="O155" s="51"/>
      <c r="P155" s="51" t="str">
        <f t="shared" si="18"/>
        <v xml:space="preserve"> </v>
      </c>
    </row>
    <row r="156" spans="3:16" ht="15" x14ac:dyDescent="0.25">
      <c r="C156" s="93"/>
      <c r="H156" s="50" t="str">
        <f t="shared" si="19"/>
        <v xml:space="preserve"> </v>
      </c>
      <c r="I156" s="50"/>
      <c r="J156" s="51" t="str">
        <f t="shared" si="14"/>
        <v/>
      </c>
      <c r="K156" s="51" t="str">
        <f t="shared" si="15"/>
        <v/>
      </c>
      <c r="L156" s="106" t="str">
        <f t="shared" si="20"/>
        <v xml:space="preserve"> </v>
      </c>
      <c r="M156" s="106" t="str">
        <f t="shared" si="16"/>
        <v xml:space="preserve"> </v>
      </c>
      <c r="N156" s="51" t="str">
        <f t="shared" si="17"/>
        <v xml:space="preserve"> </v>
      </c>
      <c r="O156" s="51"/>
      <c r="P156" s="51" t="str">
        <f t="shared" si="18"/>
        <v xml:space="preserve"> </v>
      </c>
    </row>
    <row r="157" spans="3:16" ht="15" x14ac:dyDescent="0.25">
      <c r="C157" s="93"/>
      <c r="H157" s="50" t="str">
        <f t="shared" si="19"/>
        <v xml:space="preserve"> </v>
      </c>
      <c r="I157" s="50"/>
      <c r="J157" s="51" t="str">
        <f t="shared" si="14"/>
        <v/>
      </c>
      <c r="K157" s="51" t="str">
        <f t="shared" si="15"/>
        <v/>
      </c>
      <c r="L157" s="106" t="str">
        <f t="shared" si="20"/>
        <v xml:space="preserve"> </v>
      </c>
      <c r="M157" s="106" t="str">
        <f t="shared" si="16"/>
        <v xml:space="preserve"> </v>
      </c>
      <c r="N157" s="51" t="str">
        <f t="shared" si="17"/>
        <v xml:space="preserve"> </v>
      </c>
      <c r="O157" s="51"/>
      <c r="P157" s="51" t="str">
        <f t="shared" si="18"/>
        <v xml:space="preserve"> </v>
      </c>
    </row>
    <row r="158" spans="3:16" ht="15" x14ac:dyDescent="0.25">
      <c r="C158" s="93"/>
      <c r="H158" s="50" t="str">
        <f t="shared" si="19"/>
        <v xml:space="preserve"> </v>
      </c>
      <c r="I158" s="50"/>
      <c r="J158" s="51" t="str">
        <f t="shared" si="14"/>
        <v/>
      </c>
      <c r="K158" s="51" t="str">
        <f t="shared" si="15"/>
        <v/>
      </c>
      <c r="L158" s="106" t="str">
        <f t="shared" si="20"/>
        <v xml:space="preserve"> </v>
      </c>
      <c r="M158" s="106" t="str">
        <f t="shared" si="16"/>
        <v xml:space="preserve"> </v>
      </c>
      <c r="N158" s="51" t="str">
        <f t="shared" si="17"/>
        <v xml:space="preserve"> </v>
      </c>
      <c r="O158" s="51"/>
      <c r="P158" s="51" t="str">
        <f t="shared" si="18"/>
        <v xml:space="preserve"> </v>
      </c>
    </row>
    <row r="159" spans="3:16" ht="15" x14ac:dyDescent="0.25">
      <c r="C159" s="93"/>
      <c r="H159" s="50" t="str">
        <f t="shared" si="19"/>
        <v xml:space="preserve"> </v>
      </c>
      <c r="I159" s="50"/>
      <c r="J159" s="51" t="str">
        <f t="shared" si="14"/>
        <v/>
      </c>
      <c r="K159" s="51" t="str">
        <f t="shared" si="15"/>
        <v/>
      </c>
      <c r="L159" s="106" t="str">
        <f t="shared" si="20"/>
        <v xml:space="preserve"> </v>
      </c>
      <c r="M159" s="106" t="str">
        <f t="shared" si="16"/>
        <v xml:space="preserve"> </v>
      </c>
      <c r="N159" s="51" t="str">
        <f t="shared" si="17"/>
        <v xml:space="preserve"> </v>
      </c>
      <c r="O159" s="51"/>
      <c r="P159" s="51" t="str">
        <f t="shared" si="18"/>
        <v xml:space="preserve"> </v>
      </c>
    </row>
    <row r="160" spans="3:16" ht="15" x14ac:dyDescent="0.25">
      <c r="C160" s="93"/>
      <c r="H160" s="50" t="str">
        <f t="shared" si="19"/>
        <v xml:space="preserve"> </v>
      </c>
      <c r="I160" s="50"/>
      <c r="J160" s="51" t="str">
        <f t="shared" si="14"/>
        <v/>
      </c>
      <c r="K160" s="51" t="str">
        <f t="shared" si="15"/>
        <v/>
      </c>
      <c r="L160" s="106" t="str">
        <f t="shared" si="20"/>
        <v xml:space="preserve"> </v>
      </c>
      <c r="M160" s="106" t="str">
        <f t="shared" si="16"/>
        <v xml:space="preserve"> </v>
      </c>
      <c r="N160" s="51" t="str">
        <f t="shared" si="17"/>
        <v xml:space="preserve"> </v>
      </c>
      <c r="O160" s="51"/>
      <c r="P160" s="51" t="str">
        <f t="shared" si="18"/>
        <v xml:space="preserve"> </v>
      </c>
    </row>
    <row r="161" spans="3:16" ht="15" x14ac:dyDescent="0.25">
      <c r="C161" s="93"/>
      <c r="H161" s="50" t="str">
        <f t="shared" si="19"/>
        <v xml:space="preserve"> </v>
      </c>
      <c r="I161" s="50"/>
      <c r="J161" s="51" t="str">
        <f t="shared" si="14"/>
        <v/>
      </c>
      <c r="K161" s="51" t="str">
        <f t="shared" si="15"/>
        <v/>
      </c>
      <c r="L161" s="106" t="str">
        <f t="shared" si="20"/>
        <v xml:space="preserve"> </v>
      </c>
      <c r="M161" s="106" t="str">
        <f t="shared" si="16"/>
        <v xml:space="preserve"> </v>
      </c>
      <c r="N161" s="51" t="str">
        <f t="shared" si="17"/>
        <v xml:space="preserve"> </v>
      </c>
      <c r="O161" s="51"/>
      <c r="P161" s="51" t="str">
        <f t="shared" si="18"/>
        <v xml:space="preserve"> </v>
      </c>
    </row>
    <row r="162" spans="3:16" ht="15" x14ac:dyDescent="0.25">
      <c r="C162" s="93"/>
      <c r="H162" s="50" t="str">
        <f t="shared" si="19"/>
        <v xml:space="preserve"> </v>
      </c>
      <c r="I162" s="50"/>
      <c r="J162" s="51" t="str">
        <f t="shared" si="14"/>
        <v/>
      </c>
      <c r="K162" s="51" t="str">
        <f t="shared" si="15"/>
        <v/>
      </c>
      <c r="L162" s="106" t="str">
        <f t="shared" si="20"/>
        <v xml:space="preserve"> </v>
      </c>
      <c r="M162" s="106" t="str">
        <f t="shared" si="16"/>
        <v xml:space="preserve"> </v>
      </c>
      <c r="N162" s="51" t="str">
        <f t="shared" si="17"/>
        <v xml:space="preserve"> </v>
      </c>
      <c r="O162" s="51"/>
      <c r="P162" s="51" t="str">
        <f t="shared" si="18"/>
        <v xml:space="preserve"> </v>
      </c>
    </row>
    <row r="163" spans="3:16" ht="15" x14ac:dyDescent="0.25">
      <c r="C163" s="93"/>
      <c r="H163" s="50" t="str">
        <f t="shared" si="19"/>
        <v xml:space="preserve"> </v>
      </c>
      <c r="I163" s="50"/>
      <c r="J163" s="51" t="str">
        <f t="shared" si="14"/>
        <v/>
      </c>
      <c r="K163" s="51" t="str">
        <f t="shared" si="15"/>
        <v/>
      </c>
      <c r="L163" s="106" t="str">
        <f t="shared" si="20"/>
        <v xml:space="preserve"> </v>
      </c>
      <c r="M163" s="106" t="str">
        <f t="shared" si="16"/>
        <v xml:space="preserve"> </v>
      </c>
      <c r="N163" s="51" t="str">
        <f t="shared" si="17"/>
        <v xml:space="preserve"> </v>
      </c>
      <c r="O163" s="51"/>
      <c r="P163" s="51" t="str">
        <f t="shared" si="18"/>
        <v xml:space="preserve"> </v>
      </c>
    </row>
    <row r="164" spans="3:16" ht="15" x14ac:dyDescent="0.25">
      <c r="C164" s="93"/>
      <c r="H164" s="50" t="str">
        <f t="shared" si="19"/>
        <v xml:space="preserve"> </v>
      </c>
      <c r="I164" s="50"/>
      <c r="J164" s="51" t="str">
        <f t="shared" si="14"/>
        <v/>
      </c>
      <c r="K164" s="51" t="str">
        <f t="shared" si="15"/>
        <v/>
      </c>
      <c r="L164" s="106" t="str">
        <f t="shared" si="20"/>
        <v xml:space="preserve"> </v>
      </c>
      <c r="M164" s="106" t="str">
        <f t="shared" si="16"/>
        <v xml:space="preserve"> </v>
      </c>
      <c r="N164" s="51" t="str">
        <f t="shared" si="17"/>
        <v xml:space="preserve"> </v>
      </c>
      <c r="O164" s="51"/>
      <c r="P164" s="51" t="str">
        <f t="shared" si="18"/>
        <v xml:space="preserve"> </v>
      </c>
    </row>
    <row r="165" spans="3:16" ht="15" x14ac:dyDescent="0.25">
      <c r="C165" s="93"/>
      <c r="H165" s="50" t="str">
        <f t="shared" si="19"/>
        <v xml:space="preserve"> </v>
      </c>
      <c r="I165" s="50"/>
      <c r="J165" s="51" t="str">
        <f t="shared" si="14"/>
        <v/>
      </c>
      <c r="K165" s="51" t="str">
        <f t="shared" si="15"/>
        <v/>
      </c>
      <c r="L165" s="106" t="str">
        <f t="shared" si="20"/>
        <v xml:space="preserve"> </v>
      </c>
      <c r="M165" s="106" t="str">
        <f t="shared" si="16"/>
        <v xml:space="preserve"> </v>
      </c>
      <c r="N165" s="51" t="str">
        <f t="shared" si="17"/>
        <v xml:space="preserve"> </v>
      </c>
      <c r="O165" s="51"/>
      <c r="P165" s="51" t="str">
        <f t="shared" si="18"/>
        <v xml:space="preserve"> </v>
      </c>
    </row>
    <row r="166" spans="3:16" ht="15" x14ac:dyDescent="0.25">
      <c r="C166" s="93"/>
      <c r="H166" s="50" t="str">
        <f t="shared" si="19"/>
        <v xml:space="preserve"> </v>
      </c>
      <c r="I166" s="50"/>
      <c r="J166" s="51" t="str">
        <f t="shared" si="14"/>
        <v/>
      </c>
      <c r="K166" s="51" t="str">
        <f t="shared" si="15"/>
        <v/>
      </c>
      <c r="L166" s="106" t="str">
        <f t="shared" si="20"/>
        <v xml:space="preserve"> </v>
      </c>
      <c r="M166" s="106" t="str">
        <f t="shared" si="16"/>
        <v xml:space="preserve"> </v>
      </c>
      <c r="N166" s="51" t="str">
        <f t="shared" si="17"/>
        <v xml:space="preserve"> </v>
      </c>
      <c r="O166" s="51"/>
      <c r="P166" s="51" t="str">
        <f t="shared" si="18"/>
        <v xml:space="preserve"> </v>
      </c>
    </row>
    <row r="167" spans="3:16" ht="15" x14ac:dyDescent="0.25">
      <c r="C167" s="93"/>
      <c r="H167" s="50" t="str">
        <f t="shared" si="19"/>
        <v xml:space="preserve"> </v>
      </c>
      <c r="I167" s="50"/>
      <c r="J167" s="51" t="str">
        <f t="shared" si="14"/>
        <v/>
      </c>
      <c r="K167" s="51" t="str">
        <f t="shared" si="15"/>
        <v/>
      </c>
      <c r="L167" s="106" t="str">
        <f t="shared" si="20"/>
        <v xml:space="preserve"> </v>
      </c>
      <c r="M167" s="106" t="str">
        <f t="shared" si="16"/>
        <v xml:space="preserve"> </v>
      </c>
      <c r="N167" s="51" t="str">
        <f t="shared" si="17"/>
        <v xml:space="preserve"> </v>
      </c>
      <c r="O167" s="51"/>
      <c r="P167" s="51" t="str">
        <f t="shared" si="18"/>
        <v xml:space="preserve"> </v>
      </c>
    </row>
    <row r="168" spans="3:16" ht="15" x14ac:dyDescent="0.25">
      <c r="C168" s="93"/>
      <c r="H168" s="50" t="str">
        <f t="shared" si="19"/>
        <v xml:space="preserve"> </v>
      </c>
      <c r="I168" s="50"/>
      <c r="J168" s="51" t="str">
        <f t="shared" si="14"/>
        <v/>
      </c>
      <c r="K168" s="51" t="str">
        <f t="shared" si="15"/>
        <v/>
      </c>
      <c r="L168" s="106" t="str">
        <f t="shared" si="20"/>
        <v xml:space="preserve"> </v>
      </c>
      <c r="M168" s="106" t="str">
        <f t="shared" si="16"/>
        <v xml:space="preserve"> </v>
      </c>
      <c r="N168" s="51" t="str">
        <f t="shared" si="17"/>
        <v xml:space="preserve"> </v>
      </c>
      <c r="O168" s="51"/>
      <c r="P168" s="51" t="str">
        <f t="shared" si="18"/>
        <v xml:space="preserve"> </v>
      </c>
    </row>
    <row r="169" spans="3:16" ht="15" x14ac:dyDescent="0.25">
      <c r="C169" s="93"/>
      <c r="H169" s="50" t="str">
        <f t="shared" si="19"/>
        <v xml:space="preserve"> </v>
      </c>
      <c r="I169" s="50"/>
      <c r="J169" s="51" t="str">
        <f t="shared" si="14"/>
        <v/>
      </c>
      <c r="K169" s="51" t="str">
        <f t="shared" si="15"/>
        <v/>
      </c>
      <c r="L169" s="106" t="str">
        <f t="shared" si="20"/>
        <v xml:space="preserve"> </v>
      </c>
      <c r="M169" s="106" t="str">
        <f t="shared" si="16"/>
        <v xml:space="preserve"> </v>
      </c>
      <c r="N169" s="51" t="str">
        <f t="shared" si="17"/>
        <v xml:space="preserve"> </v>
      </c>
      <c r="O169" s="51"/>
      <c r="P169" s="51" t="str">
        <f t="shared" si="18"/>
        <v xml:space="preserve"> </v>
      </c>
    </row>
    <row r="170" spans="3:16" ht="15" x14ac:dyDescent="0.25">
      <c r="C170" s="93"/>
      <c r="H170" s="50" t="str">
        <f t="shared" si="19"/>
        <v xml:space="preserve"> </v>
      </c>
      <c r="I170" s="50"/>
      <c r="J170" s="51" t="str">
        <f t="shared" si="14"/>
        <v/>
      </c>
      <c r="K170" s="51" t="str">
        <f t="shared" si="15"/>
        <v/>
      </c>
      <c r="L170" s="106" t="str">
        <f t="shared" si="20"/>
        <v xml:space="preserve"> </v>
      </c>
      <c r="M170" s="106" t="str">
        <f t="shared" si="16"/>
        <v xml:space="preserve"> </v>
      </c>
      <c r="N170" s="51" t="str">
        <f t="shared" si="17"/>
        <v xml:space="preserve"> </v>
      </c>
      <c r="O170" s="51"/>
      <c r="P170" s="51" t="str">
        <f t="shared" si="18"/>
        <v xml:space="preserve"> </v>
      </c>
    </row>
    <row r="171" spans="3:16" ht="15" x14ac:dyDescent="0.25">
      <c r="C171" s="93"/>
      <c r="H171" s="50" t="str">
        <f t="shared" si="19"/>
        <v xml:space="preserve"> </v>
      </c>
      <c r="I171" s="50"/>
      <c r="J171" s="51" t="str">
        <f t="shared" si="14"/>
        <v/>
      </c>
      <c r="K171" s="51" t="str">
        <f t="shared" si="15"/>
        <v/>
      </c>
      <c r="L171" s="106" t="str">
        <f t="shared" si="20"/>
        <v xml:space="preserve"> </v>
      </c>
      <c r="M171" s="106" t="str">
        <f t="shared" si="16"/>
        <v xml:space="preserve"> </v>
      </c>
      <c r="N171" s="51" t="str">
        <f t="shared" si="17"/>
        <v xml:space="preserve"> </v>
      </c>
      <c r="O171" s="51"/>
      <c r="P171" s="51" t="str">
        <f t="shared" si="18"/>
        <v xml:space="preserve"> </v>
      </c>
    </row>
    <row r="172" spans="3:16" ht="15" x14ac:dyDescent="0.25">
      <c r="C172" s="93"/>
      <c r="H172" s="50" t="str">
        <f t="shared" si="19"/>
        <v xml:space="preserve"> </v>
      </c>
      <c r="I172" s="50"/>
      <c r="J172" s="51" t="str">
        <f t="shared" si="14"/>
        <v/>
      </c>
      <c r="K172" s="51" t="str">
        <f t="shared" si="15"/>
        <v/>
      </c>
      <c r="L172" s="106" t="str">
        <f t="shared" si="20"/>
        <v xml:space="preserve"> </v>
      </c>
      <c r="M172" s="106" t="str">
        <f t="shared" si="16"/>
        <v xml:space="preserve"> </v>
      </c>
      <c r="N172" s="51" t="str">
        <f t="shared" si="17"/>
        <v xml:space="preserve"> </v>
      </c>
      <c r="O172" s="51"/>
      <c r="P172" s="51" t="str">
        <f t="shared" si="18"/>
        <v xml:space="preserve"> </v>
      </c>
    </row>
    <row r="173" spans="3:16" ht="15" x14ac:dyDescent="0.25">
      <c r="C173" s="93"/>
      <c r="H173" s="50" t="str">
        <f t="shared" si="19"/>
        <v xml:space="preserve"> </v>
      </c>
      <c r="I173" s="50"/>
      <c r="J173" s="51" t="str">
        <f t="shared" si="14"/>
        <v/>
      </c>
      <c r="K173" s="51" t="str">
        <f t="shared" si="15"/>
        <v/>
      </c>
      <c r="L173" s="106" t="str">
        <f t="shared" si="20"/>
        <v xml:space="preserve"> </v>
      </c>
      <c r="M173" s="106" t="str">
        <f t="shared" si="16"/>
        <v xml:space="preserve"> </v>
      </c>
      <c r="N173" s="51" t="str">
        <f t="shared" si="17"/>
        <v xml:space="preserve"> </v>
      </c>
      <c r="O173" s="51"/>
      <c r="P173" s="51" t="str">
        <f t="shared" si="18"/>
        <v xml:space="preserve"> </v>
      </c>
    </row>
    <row r="174" spans="3:16" ht="15" x14ac:dyDescent="0.25">
      <c r="C174" s="93"/>
      <c r="H174" s="50" t="str">
        <f t="shared" si="19"/>
        <v xml:space="preserve"> </v>
      </c>
      <c r="I174" s="50"/>
      <c r="J174" s="51" t="str">
        <f t="shared" si="14"/>
        <v/>
      </c>
      <c r="K174" s="51" t="str">
        <f t="shared" si="15"/>
        <v/>
      </c>
      <c r="L174" s="106" t="str">
        <f t="shared" si="20"/>
        <v xml:space="preserve"> </v>
      </c>
      <c r="M174" s="106" t="str">
        <f t="shared" si="16"/>
        <v xml:space="preserve"> </v>
      </c>
      <c r="N174" s="51" t="str">
        <f t="shared" si="17"/>
        <v xml:space="preserve"> </v>
      </c>
      <c r="O174" s="51"/>
      <c r="P174" s="51" t="str">
        <f t="shared" si="18"/>
        <v xml:space="preserve"> </v>
      </c>
    </row>
    <row r="175" spans="3:16" ht="15" x14ac:dyDescent="0.25">
      <c r="C175" s="93"/>
      <c r="H175" s="50" t="str">
        <f t="shared" si="19"/>
        <v xml:space="preserve"> </v>
      </c>
      <c r="I175" s="50"/>
      <c r="J175" s="51" t="str">
        <f t="shared" si="14"/>
        <v/>
      </c>
      <c r="K175" s="51" t="str">
        <f t="shared" si="15"/>
        <v/>
      </c>
      <c r="L175" s="106" t="str">
        <f t="shared" si="20"/>
        <v xml:space="preserve"> </v>
      </c>
      <c r="M175" s="106" t="str">
        <f t="shared" si="16"/>
        <v xml:space="preserve"> </v>
      </c>
      <c r="N175" s="51" t="str">
        <f t="shared" si="17"/>
        <v xml:space="preserve"> </v>
      </c>
      <c r="O175" s="51"/>
      <c r="P175" s="51" t="str">
        <f t="shared" si="18"/>
        <v xml:space="preserve"> </v>
      </c>
    </row>
    <row r="176" spans="3:16" ht="15" x14ac:dyDescent="0.25">
      <c r="C176" s="93"/>
      <c r="H176" s="50" t="str">
        <f t="shared" si="19"/>
        <v xml:space="preserve"> </v>
      </c>
      <c r="I176" s="50"/>
      <c r="J176" s="51" t="str">
        <f t="shared" si="14"/>
        <v/>
      </c>
      <c r="K176" s="51" t="str">
        <f t="shared" si="15"/>
        <v/>
      </c>
      <c r="L176" s="106" t="str">
        <f t="shared" si="20"/>
        <v xml:space="preserve"> </v>
      </c>
      <c r="M176" s="106" t="str">
        <f t="shared" si="16"/>
        <v xml:space="preserve"> </v>
      </c>
      <c r="N176" s="51" t="str">
        <f t="shared" si="17"/>
        <v xml:space="preserve"> </v>
      </c>
      <c r="O176" s="51"/>
      <c r="P176" s="51" t="str">
        <f t="shared" si="18"/>
        <v xml:space="preserve"> </v>
      </c>
    </row>
    <row r="177" spans="3:16" ht="15" x14ac:dyDescent="0.25">
      <c r="C177" s="93"/>
      <c r="H177" s="50" t="str">
        <f t="shared" si="19"/>
        <v xml:space="preserve"> </v>
      </c>
      <c r="I177" s="50"/>
      <c r="J177" s="51" t="str">
        <f t="shared" si="14"/>
        <v/>
      </c>
      <c r="K177" s="51" t="str">
        <f t="shared" si="15"/>
        <v/>
      </c>
      <c r="L177" s="106" t="str">
        <f t="shared" si="20"/>
        <v xml:space="preserve"> </v>
      </c>
      <c r="M177" s="106" t="str">
        <f t="shared" si="16"/>
        <v xml:space="preserve"> </v>
      </c>
      <c r="N177" s="51" t="str">
        <f t="shared" si="17"/>
        <v xml:space="preserve"> </v>
      </c>
      <c r="O177" s="51"/>
      <c r="P177" s="51" t="str">
        <f t="shared" si="18"/>
        <v xml:space="preserve"> </v>
      </c>
    </row>
    <row r="178" spans="3:16" ht="15" x14ac:dyDescent="0.25">
      <c r="C178" s="93"/>
      <c r="H178" s="50" t="str">
        <f t="shared" si="19"/>
        <v xml:space="preserve"> </v>
      </c>
      <c r="I178" s="50"/>
      <c r="J178" s="51" t="str">
        <f t="shared" si="14"/>
        <v/>
      </c>
      <c r="K178" s="51" t="str">
        <f t="shared" si="15"/>
        <v/>
      </c>
      <c r="L178" s="106" t="str">
        <f t="shared" si="20"/>
        <v xml:space="preserve"> </v>
      </c>
      <c r="M178" s="106" t="str">
        <f t="shared" si="16"/>
        <v xml:space="preserve"> </v>
      </c>
      <c r="N178" s="51" t="str">
        <f t="shared" si="17"/>
        <v xml:space="preserve"> </v>
      </c>
      <c r="O178" s="51"/>
      <c r="P178" s="51" t="str">
        <f t="shared" si="18"/>
        <v xml:space="preserve"> </v>
      </c>
    </row>
    <row r="179" spans="3:16" ht="15" x14ac:dyDescent="0.25">
      <c r="C179" s="93"/>
      <c r="H179" s="50" t="str">
        <f t="shared" si="19"/>
        <v xml:space="preserve"> </v>
      </c>
      <c r="I179" s="50"/>
      <c r="J179" s="51" t="str">
        <f t="shared" si="14"/>
        <v/>
      </c>
      <c r="K179" s="51" t="str">
        <f t="shared" si="15"/>
        <v/>
      </c>
      <c r="L179" s="106" t="str">
        <f t="shared" si="20"/>
        <v xml:space="preserve"> </v>
      </c>
      <c r="M179" s="106" t="str">
        <f t="shared" si="16"/>
        <v xml:space="preserve"> </v>
      </c>
      <c r="N179" s="51" t="str">
        <f t="shared" si="17"/>
        <v xml:space="preserve"> </v>
      </c>
      <c r="O179" s="51"/>
      <c r="P179" s="51" t="str">
        <f t="shared" si="18"/>
        <v xml:space="preserve"> </v>
      </c>
    </row>
    <row r="180" spans="3:16" ht="15" x14ac:dyDescent="0.25">
      <c r="C180" s="93"/>
      <c r="H180" s="50" t="str">
        <f t="shared" si="19"/>
        <v xml:space="preserve"> </v>
      </c>
      <c r="I180" s="50"/>
      <c r="J180" s="51" t="str">
        <f t="shared" si="14"/>
        <v/>
      </c>
      <c r="K180" s="51" t="str">
        <f t="shared" si="15"/>
        <v/>
      </c>
      <c r="L180" s="106" t="str">
        <f t="shared" si="20"/>
        <v xml:space="preserve"> </v>
      </c>
      <c r="M180" s="106" t="str">
        <f t="shared" si="16"/>
        <v xml:space="preserve"> </v>
      </c>
      <c r="N180" s="51" t="str">
        <f t="shared" si="17"/>
        <v xml:space="preserve"> </v>
      </c>
      <c r="O180" s="51"/>
      <c r="P180" s="51" t="str">
        <f t="shared" si="18"/>
        <v xml:space="preserve"> </v>
      </c>
    </row>
    <row r="181" spans="3:16" ht="15" x14ac:dyDescent="0.25">
      <c r="C181" s="93"/>
      <c r="H181" s="50" t="str">
        <f t="shared" si="19"/>
        <v xml:space="preserve"> </v>
      </c>
      <c r="I181" s="50"/>
      <c r="J181" s="51" t="str">
        <f t="shared" si="14"/>
        <v/>
      </c>
      <c r="K181" s="51" t="str">
        <f t="shared" si="15"/>
        <v/>
      </c>
      <c r="L181" s="106" t="str">
        <f t="shared" si="20"/>
        <v xml:space="preserve"> </v>
      </c>
      <c r="M181" s="106" t="str">
        <f t="shared" si="16"/>
        <v xml:space="preserve"> </v>
      </c>
      <c r="N181" s="51" t="str">
        <f t="shared" si="17"/>
        <v xml:space="preserve"> </v>
      </c>
      <c r="O181" s="51"/>
      <c r="P181" s="51" t="str">
        <f t="shared" si="18"/>
        <v xml:space="preserve"> </v>
      </c>
    </row>
    <row r="182" spans="3:16" ht="15" x14ac:dyDescent="0.25">
      <c r="C182" s="93"/>
      <c r="H182" s="50" t="str">
        <f t="shared" si="19"/>
        <v xml:space="preserve"> </v>
      </c>
      <c r="I182" s="50"/>
      <c r="J182" s="51" t="str">
        <f t="shared" si="14"/>
        <v/>
      </c>
      <c r="K182" s="51" t="str">
        <f t="shared" si="15"/>
        <v/>
      </c>
      <c r="L182" s="106" t="str">
        <f t="shared" si="20"/>
        <v xml:space="preserve"> </v>
      </c>
      <c r="M182" s="106" t="str">
        <f t="shared" si="16"/>
        <v xml:space="preserve"> </v>
      </c>
      <c r="N182" s="51" t="str">
        <f t="shared" si="17"/>
        <v xml:space="preserve"> </v>
      </c>
      <c r="O182" s="51"/>
      <c r="P182" s="51" t="str">
        <f t="shared" si="18"/>
        <v xml:space="preserve"> </v>
      </c>
    </row>
    <row r="183" spans="3:16" ht="15" x14ac:dyDescent="0.25">
      <c r="C183" s="93"/>
      <c r="H183" s="50" t="str">
        <f t="shared" si="19"/>
        <v xml:space="preserve"> </v>
      </c>
      <c r="I183" s="50"/>
      <c r="J183" s="51" t="str">
        <f t="shared" si="14"/>
        <v/>
      </c>
      <c r="K183" s="51" t="str">
        <f t="shared" si="15"/>
        <v/>
      </c>
      <c r="L183" s="106" t="str">
        <f t="shared" si="20"/>
        <v xml:space="preserve"> </v>
      </c>
      <c r="M183" s="106" t="str">
        <f t="shared" si="16"/>
        <v xml:space="preserve"> </v>
      </c>
      <c r="N183" s="51" t="str">
        <f t="shared" si="17"/>
        <v xml:space="preserve"> </v>
      </c>
      <c r="O183" s="51"/>
      <c r="P183" s="51" t="str">
        <f t="shared" si="18"/>
        <v xml:space="preserve"> </v>
      </c>
    </row>
    <row r="184" spans="3:16" ht="15" x14ac:dyDescent="0.25">
      <c r="C184" s="93"/>
      <c r="H184" s="50" t="str">
        <f t="shared" si="19"/>
        <v xml:space="preserve"> </v>
      </c>
      <c r="I184" s="50"/>
      <c r="J184" s="51" t="str">
        <f t="shared" si="14"/>
        <v/>
      </c>
      <c r="K184" s="51" t="str">
        <f t="shared" si="15"/>
        <v/>
      </c>
      <c r="L184" s="106" t="str">
        <f t="shared" si="20"/>
        <v xml:space="preserve"> </v>
      </c>
      <c r="M184" s="106" t="str">
        <f t="shared" si="16"/>
        <v xml:space="preserve"> </v>
      </c>
      <c r="N184" s="51" t="str">
        <f t="shared" si="17"/>
        <v xml:space="preserve"> </v>
      </c>
      <c r="O184" s="51"/>
      <c r="P184" s="51" t="str">
        <f t="shared" si="18"/>
        <v xml:space="preserve"> </v>
      </c>
    </row>
    <row r="185" spans="3:16" ht="15" x14ac:dyDescent="0.25">
      <c r="C185" s="93"/>
      <c r="H185" s="50" t="str">
        <f t="shared" si="19"/>
        <v xml:space="preserve"> </v>
      </c>
      <c r="I185" s="50"/>
      <c r="J185" s="51" t="str">
        <f t="shared" si="14"/>
        <v/>
      </c>
      <c r="K185" s="51" t="str">
        <f t="shared" si="15"/>
        <v/>
      </c>
      <c r="L185" s="106" t="str">
        <f t="shared" si="20"/>
        <v xml:space="preserve"> </v>
      </c>
      <c r="M185" s="106" t="str">
        <f t="shared" si="16"/>
        <v xml:space="preserve"> </v>
      </c>
      <c r="N185" s="51" t="str">
        <f t="shared" si="17"/>
        <v xml:space="preserve"> </v>
      </c>
      <c r="O185" s="51"/>
      <c r="P185" s="51" t="str">
        <f t="shared" si="18"/>
        <v xml:space="preserve"> </v>
      </c>
    </row>
    <row r="186" spans="3:16" ht="15" x14ac:dyDescent="0.25">
      <c r="C186" s="93"/>
      <c r="H186" s="50" t="str">
        <f t="shared" si="19"/>
        <v xml:space="preserve"> </v>
      </c>
      <c r="I186" s="50"/>
      <c r="J186" s="51" t="str">
        <f t="shared" si="14"/>
        <v/>
      </c>
      <c r="K186" s="51" t="str">
        <f t="shared" si="15"/>
        <v/>
      </c>
      <c r="L186" s="106" t="str">
        <f t="shared" si="20"/>
        <v xml:space="preserve"> </v>
      </c>
      <c r="M186" s="106" t="str">
        <f t="shared" si="16"/>
        <v xml:space="preserve"> </v>
      </c>
      <c r="N186" s="51" t="str">
        <f t="shared" si="17"/>
        <v xml:space="preserve"> </v>
      </c>
      <c r="O186" s="51"/>
      <c r="P186" s="51" t="str">
        <f t="shared" si="18"/>
        <v xml:space="preserve"> </v>
      </c>
    </row>
    <row r="187" spans="3:16" ht="15" x14ac:dyDescent="0.25">
      <c r="C187" s="93"/>
      <c r="H187" s="50" t="str">
        <f t="shared" si="19"/>
        <v xml:space="preserve"> </v>
      </c>
      <c r="I187" s="50"/>
      <c r="J187" s="51" t="str">
        <f t="shared" si="14"/>
        <v/>
      </c>
      <c r="K187" s="51" t="str">
        <f t="shared" si="15"/>
        <v/>
      </c>
      <c r="L187" s="106" t="str">
        <f t="shared" si="20"/>
        <v xml:space="preserve"> </v>
      </c>
      <c r="M187" s="106" t="str">
        <f t="shared" si="16"/>
        <v xml:space="preserve"> </v>
      </c>
      <c r="N187" s="51" t="str">
        <f t="shared" si="17"/>
        <v xml:space="preserve"> </v>
      </c>
      <c r="O187" s="51"/>
      <c r="P187" s="51" t="str">
        <f t="shared" si="18"/>
        <v xml:space="preserve"> </v>
      </c>
    </row>
    <row r="188" spans="3:16" ht="15" x14ac:dyDescent="0.25">
      <c r="C188" s="93"/>
      <c r="H188" s="50" t="str">
        <f t="shared" si="19"/>
        <v xml:space="preserve"> </v>
      </c>
      <c r="I188" s="50"/>
      <c r="J188" s="51" t="str">
        <f t="shared" si="14"/>
        <v/>
      </c>
      <c r="K188" s="51" t="str">
        <f t="shared" si="15"/>
        <v/>
      </c>
      <c r="L188" s="106" t="str">
        <f t="shared" si="20"/>
        <v xml:space="preserve"> </v>
      </c>
      <c r="M188" s="106" t="str">
        <f t="shared" si="16"/>
        <v xml:space="preserve"> </v>
      </c>
      <c r="N188" s="51" t="str">
        <f t="shared" si="17"/>
        <v xml:space="preserve"> </v>
      </c>
      <c r="O188" s="51"/>
      <c r="P188" s="51" t="str">
        <f t="shared" si="18"/>
        <v xml:space="preserve"> </v>
      </c>
    </row>
    <row r="189" spans="3:16" ht="15" x14ac:dyDescent="0.25">
      <c r="C189" s="93"/>
      <c r="H189" s="50" t="str">
        <f t="shared" si="19"/>
        <v xml:space="preserve"> </v>
      </c>
      <c r="I189" s="50"/>
      <c r="J189" s="51" t="str">
        <f t="shared" si="14"/>
        <v/>
      </c>
      <c r="K189" s="51" t="str">
        <f t="shared" si="15"/>
        <v/>
      </c>
      <c r="L189" s="106" t="str">
        <f t="shared" si="20"/>
        <v xml:space="preserve"> </v>
      </c>
      <c r="M189" s="106" t="str">
        <f t="shared" si="16"/>
        <v xml:space="preserve"> </v>
      </c>
      <c r="N189" s="51" t="str">
        <f t="shared" si="17"/>
        <v xml:space="preserve"> </v>
      </c>
      <c r="O189" s="51"/>
      <c r="P189" s="51" t="str">
        <f t="shared" si="18"/>
        <v xml:space="preserve"> </v>
      </c>
    </row>
    <row r="190" spans="3:16" ht="15" x14ac:dyDescent="0.25">
      <c r="C190" s="93"/>
      <c r="H190" s="50" t="str">
        <f t="shared" si="19"/>
        <v xml:space="preserve"> </v>
      </c>
      <c r="I190" s="50"/>
      <c r="J190" s="51" t="str">
        <f t="shared" si="14"/>
        <v/>
      </c>
      <c r="K190" s="51" t="str">
        <f t="shared" si="15"/>
        <v/>
      </c>
      <c r="L190" s="106" t="str">
        <f t="shared" si="20"/>
        <v xml:space="preserve"> </v>
      </c>
      <c r="M190" s="106" t="str">
        <f t="shared" si="16"/>
        <v xml:space="preserve"> </v>
      </c>
      <c r="N190" s="51" t="str">
        <f t="shared" si="17"/>
        <v xml:space="preserve"> </v>
      </c>
      <c r="O190" s="51"/>
      <c r="P190" s="51" t="str">
        <f t="shared" si="18"/>
        <v xml:space="preserve"> </v>
      </c>
    </row>
    <row r="191" spans="3:16" ht="15" x14ac:dyDescent="0.25">
      <c r="C191" s="93"/>
      <c r="H191" s="50" t="str">
        <f t="shared" si="19"/>
        <v xml:space="preserve"> </v>
      </c>
      <c r="I191" s="50"/>
      <c r="J191" s="51" t="str">
        <f t="shared" si="14"/>
        <v/>
      </c>
      <c r="K191" s="51" t="str">
        <f t="shared" si="15"/>
        <v/>
      </c>
      <c r="L191" s="106" t="str">
        <f t="shared" si="20"/>
        <v xml:space="preserve"> </v>
      </c>
      <c r="M191" s="106" t="str">
        <f t="shared" si="16"/>
        <v xml:space="preserve"> </v>
      </c>
      <c r="N191" s="51" t="str">
        <f t="shared" si="17"/>
        <v xml:space="preserve"> </v>
      </c>
      <c r="O191" s="51"/>
      <c r="P191" s="51" t="str">
        <f t="shared" si="18"/>
        <v xml:space="preserve"> </v>
      </c>
    </row>
    <row r="192" spans="3:16" ht="15" x14ac:dyDescent="0.25">
      <c r="C192" s="93"/>
      <c r="H192" s="50" t="str">
        <f t="shared" si="19"/>
        <v xml:space="preserve"> </v>
      </c>
      <c r="I192" s="50"/>
      <c r="J192" s="51" t="str">
        <f t="shared" si="14"/>
        <v/>
      </c>
      <c r="K192" s="51" t="str">
        <f t="shared" si="15"/>
        <v/>
      </c>
      <c r="L192" s="106" t="str">
        <f t="shared" si="20"/>
        <v xml:space="preserve"> </v>
      </c>
      <c r="M192" s="106" t="str">
        <f t="shared" si="16"/>
        <v xml:space="preserve"> </v>
      </c>
      <c r="N192" s="51" t="str">
        <f t="shared" si="17"/>
        <v xml:space="preserve"> </v>
      </c>
      <c r="O192" s="51"/>
      <c r="P192" s="51" t="str">
        <f t="shared" si="18"/>
        <v xml:space="preserve"> </v>
      </c>
    </row>
    <row r="193" spans="3:16" ht="15" x14ac:dyDescent="0.25">
      <c r="C193" s="93"/>
      <c r="H193" s="50" t="str">
        <f t="shared" si="19"/>
        <v xml:space="preserve"> </v>
      </c>
      <c r="I193" s="50"/>
      <c r="J193" s="51" t="str">
        <f t="shared" si="14"/>
        <v/>
      </c>
      <c r="K193" s="51" t="str">
        <f t="shared" si="15"/>
        <v/>
      </c>
      <c r="L193" s="106" t="str">
        <f t="shared" si="20"/>
        <v xml:space="preserve"> </v>
      </c>
      <c r="M193" s="106" t="str">
        <f t="shared" si="16"/>
        <v xml:space="preserve"> </v>
      </c>
      <c r="N193" s="51" t="str">
        <f t="shared" si="17"/>
        <v xml:space="preserve"> </v>
      </c>
      <c r="O193" s="51"/>
      <c r="P193" s="51" t="str">
        <f t="shared" si="18"/>
        <v xml:space="preserve"> </v>
      </c>
    </row>
    <row r="194" spans="3:16" ht="15" x14ac:dyDescent="0.25">
      <c r="C194" s="93"/>
      <c r="H194" s="50" t="str">
        <f t="shared" si="19"/>
        <v xml:space="preserve"> </v>
      </c>
      <c r="I194" s="50"/>
      <c r="J194" s="51" t="str">
        <f t="shared" si="14"/>
        <v/>
      </c>
      <c r="K194" s="51" t="str">
        <f t="shared" si="15"/>
        <v/>
      </c>
      <c r="L194" s="106" t="str">
        <f t="shared" si="20"/>
        <v xml:space="preserve"> </v>
      </c>
      <c r="M194" s="106" t="str">
        <f t="shared" si="16"/>
        <v xml:space="preserve"> </v>
      </c>
      <c r="N194" s="51" t="str">
        <f t="shared" si="17"/>
        <v xml:space="preserve"> </v>
      </c>
      <c r="O194" s="51"/>
      <c r="P194" s="51" t="str">
        <f t="shared" si="18"/>
        <v xml:space="preserve"> </v>
      </c>
    </row>
    <row r="195" spans="3:16" ht="15" x14ac:dyDescent="0.25">
      <c r="C195" s="93"/>
      <c r="H195" s="50" t="str">
        <f t="shared" si="19"/>
        <v xml:space="preserve"> </v>
      </c>
      <c r="I195" s="50"/>
      <c r="J195" s="51" t="str">
        <f t="shared" si="14"/>
        <v/>
      </c>
      <c r="K195" s="51" t="str">
        <f t="shared" si="15"/>
        <v/>
      </c>
      <c r="L195" s="106" t="str">
        <f t="shared" si="20"/>
        <v xml:space="preserve"> </v>
      </c>
      <c r="M195" s="106" t="str">
        <f t="shared" si="16"/>
        <v xml:space="preserve"> </v>
      </c>
      <c r="N195" s="51" t="str">
        <f t="shared" si="17"/>
        <v xml:space="preserve"> </v>
      </c>
      <c r="O195" s="51"/>
      <c r="P195" s="51" t="str">
        <f t="shared" si="18"/>
        <v xml:space="preserve"> </v>
      </c>
    </row>
    <row r="196" spans="3:16" ht="15" x14ac:dyDescent="0.25">
      <c r="C196" s="93"/>
      <c r="H196" s="50" t="str">
        <f t="shared" si="19"/>
        <v xml:space="preserve"> </v>
      </c>
      <c r="I196" s="50"/>
      <c r="J196" s="51" t="str">
        <f t="shared" si="14"/>
        <v/>
      </c>
      <c r="K196" s="51" t="str">
        <f t="shared" si="15"/>
        <v/>
      </c>
      <c r="L196" s="106" t="str">
        <f t="shared" si="20"/>
        <v xml:space="preserve"> </v>
      </c>
      <c r="M196" s="106" t="str">
        <f t="shared" si="16"/>
        <v xml:space="preserve"> </v>
      </c>
      <c r="N196" s="51" t="str">
        <f t="shared" si="17"/>
        <v xml:space="preserve"> </v>
      </c>
      <c r="O196" s="51"/>
      <c r="P196" s="51" t="str">
        <f t="shared" si="18"/>
        <v xml:space="preserve"> </v>
      </c>
    </row>
    <row r="197" spans="3:16" ht="15" x14ac:dyDescent="0.25">
      <c r="C197" s="93"/>
      <c r="H197" s="50" t="str">
        <f t="shared" si="19"/>
        <v xml:space="preserve"> </v>
      </c>
      <c r="I197" s="50"/>
      <c r="J197" s="51" t="str">
        <f t="shared" si="14"/>
        <v/>
      </c>
      <c r="K197" s="51" t="str">
        <f t="shared" si="15"/>
        <v/>
      </c>
      <c r="L197" s="106" t="str">
        <f t="shared" si="20"/>
        <v xml:space="preserve"> </v>
      </c>
      <c r="M197" s="106" t="str">
        <f t="shared" si="16"/>
        <v xml:space="preserve"> </v>
      </c>
      <c r="N197" s="51" t="str">
        <f t="shared" si="17"/>
        <v xml:space="preserve"> </v>
      </c>
      <c r="O197" s="51"/>
      <c r="P197" s="51" t="str">
        <f t="shared" si="18"/>
        <v xml:space="preserve"> </v>
      </c>
    </row>
    <row r="198" spans="3:16" ht="15" x14ac:dyDescent="0.25">
      <c r="C198" s="93"/>
      <c r="H198" s="50" t="str">
        <f t="shared" si="19"/>
        <v xml:space="preserve"> </v>
      </c>
      <c r="I198" s="50"/>
      <c r="J198" s="51" t="str">
        <f t="shared" si="14"/>
        <v/>
      </c>
      <c r="K198" s="51" t="str">
        <f t="shared" si="15"/>
        <v/>
      </c>
      <c r="L198" s="106" t="str">
        <f t="shared" si="20"/>
        <v xml:space="preserve"> </v>
      </c>
      <c r="M198" s="106" t="str">
        <f t="shared" si="16"/>
        <v xml:space="preserve"> </v>
      </c>
      <c r="N198" s="51" t="str">
        <f t="shared" si="17"/>
        <v xml:space="preserve"> </v>
      </c>
      <c r="O198" s="51"/>
      <c r="P198" s="51" t="str">
        <f t="shared" si="18"/>
        <v xml:space="preserve"> </v>
      </c>
    </row>
    <row r="199" spans="3:16" ht="15" x14ac:dyDescent="0.25">
      <c r="C199" s="93"/>
      <c r="H199" s="50" t="str">
        <f t="shared" si="19"/>
        <v xml:space="preserve"> </v>
      </c>
      <c r="I199" s="50"/>
      <c r="J199" s="51" t="str">
        <f t="shared" si="14"/>
        <v/>
      </c>
      <c r="K199" s="51" t="str">
        <f t="shared" si="15"/>
        <v/>
      </c>
      <c r="L199" s="106" t="str">
        <f t="shared" si="20"/>
        <v xml:space="preserve"> </v>
      </c>
      <c r="M199" s="106" t="str">
        <f t="shared" si="16"/>
        <v xml:space="preserve"> </v>
      </c>
      <c r="N199" s="51" t="str">
        <f t="shared" si="17"/>
        <v xml:space="preserve"> </v>
      </c>
      <c r="O199" s="51"/>
      <c r="P199" s="51" t="str">
        <f t="shared" si="18"/>
        <v xml:space="preserve"> </v>
      </c>
    </row>
    <row r="200" spans="3:16" ht="15" x14ac:dyDescent="0.25">
      <c r="C200" s="93"/>
      <c r="H200" s="50" t="str">
        <f t="shared" si="19"/>
        <v xml:space="preserve"> </v>
      </c>
      <c r="I200" s="50"/>
      <c r="J200" s="51" t="str">
        <f t="shared" si="14"/>
        <v/>
      </c>
      <c r="K200" s="51" t="str">
        <f t="shared" si="15"/>
        <v/>
      </c>
      <c r="L200" s="106" t="str">
        <f t="shared" si="20"/>
        <v xml:space="preserve"> </v>
      </c>
      <c r="M200" s="106" t="str">
        <f t="shared" si="16"/>
        <v xml:space="preserve"> </v>
      </c>
      <c r="N200" s="51" t="str">
        <f t="shared" si="17"/>
        <v xml:space="preserve"> </v>
      </c>
      <c r="O200" s="51"/>
      <c r="P200" s="51" t="str">
        <f t="shared" si="18"/>
        <v xml:space="preserve"> </v>
      </c>
    </row>
    <row r="201" spans="3:16" ht="15" x14ac:dyDescent="0.25">
      <c r="C201" s="93"/>
      <c r="H201" s="50" t="str">
        <f t="shared" si="19"/>
        <v xml:space="preserve"> </v>
      </c>
      <c r="I201" s="50"/>
      <c r="J201" s="51" t="str">
        <f t="shared" si="14"/>
        <v/>
      </c>
      <c r="K201" s="51" t="str">
        <f t="shared" si="15"/>
        <v/>
      </c>
      <c r="L201" s="106" t="str">
        <f t="shared" si="20"/>
        <v xml:space="preserve"> </v>
      </c>
      <c r="M201" s="106" t="str">
        <f t="shared" si="16"/>
        <v xml:space="preserve"> </v>
      </c>
      <c r="N201" s="51" t="str">
        <f t="shared" si="17"/>
        <v xml:space="preserve"> </v>
      </c>
      <c r="O201" s="51"/>
      <c r="P201" s="51" t="str">
        <f t="shared" si="18"/>
        <v xml:space="preserve"> </v>
      </c>
    </row>
    <row r="202" spans="3:16" ht="15" x14ac:dyDescent="0.25">
      <c r="C202" s="93"/>
      <c r="H202" s="50" t="str">
        <f t="shared" si="19"/>
        <v xml:space="preserve"> </v>
      </c>
      <c r="I202" s="50"/>
      <c r="J202" s="51" t="str">
        <f t="shared" si="14"/>
        <v/>
      </c>
      <c r="K202" s="51" t="str">
        <f t="shared" si="15"/>
        <v/>
      </c>
      <c r="L202" s="106" t="str">
        <f t="shared" si="20"/>
        <v xml:space="preserve"> </v>
      </c>
      <c r="M202" s="106" t="str">
        <f t="shared" si="16"/>
        <v xml:space="preserve"> </v>
      </c>
      <c r="N202" s="51" t="str">
        <f t="shared" si="17"/>
        <v xml:space="preserve"> </v>
      </c>
      <c r="O202" s="51"/>
      <c r="P202" s="51" t="str">
        <f t="shared" si="18"/>
        <v xml:space="preserve"> </v>
      </c>
    </row>
    <row r="203" spans="3:16" ht="15" x14ac:dyDescent="0.25">
      <c r="C203" s="93"/>
      <c r="H203" s="50" t="str">
        <f t="shared" si="19"/>
        <v xml:space="preserve"> </v>
      </c>
      <c r="I203" s="50"/>
      <c r="J203" s="51" t="str">
        <f t="shared" si="14"/>
        <v/>
      </c>
      <c r="K203" s="51" t="str">
        <f t="shared" si="15"/>
        <v/>
      </c>
      <c r="L203" s="106" t="str">
        <f t="shared" si="20"/>
        <v xml:space="preserve"> </v>
      </c>
      <c r="M203" s="106" t="str">
        <f t="shared" si="16"/>
        <v xml:space="preserve"> </v>
      </c>
      <c r="N203" s="51" t="str">
        <f t="shared" si="17"/>
        <v xml:space="preserve"> </v>
      </c>
      <c r="O203" s="51"/>
      <c r="P203" s="51" t="str">
        <f t="shared" si="18"/>
        <v xml:space="preserve"> </v>
      </c>
    </row>
    <row r="204" spans="3:16" ht="15" x14ac:dyDescent="0.25">
      <c r="C204" s="93"/>
      <c r="H204" s="50" t="str">
        <f t="shared" si="19"/>
        <v xml:space="preserve"> </v>
      </c>
      <c r="I204" s="50"/>
      <c r="J204" s="51" t="str">
        <f t="shared" si="14"/>
        <v/>
      </c>
      <c r="K204" s="51" t="str">
        <f t="shared" si="15"/>
        <v/>
      </c>
      <c r="L204" s="106" t="str">
        <f t="shared" si="20"/>
        <v xml:space="preserve"> </v>
      </c>
      <c r="M204" s="106" t="str">
        <f t="shared" si="16"/>
        <v xml:space="preserve"> </v>
      </c>
      <c r="N204" s="51" t="str">
        <f t="shared" si="17"/>
        <v xml:space="preserve"> </v>
      </c>
      <c r="O204" s="51"/>
      <c r="P204" s="51" t="str">
        <f t="shared" si="18"/>
        <v xml:space="preserve"> </v>
      </c>
    </row>
    <row r="205" spans="3:16" ht="15" x14ac:dyDescent="0.25">
      <c r="C205" s="93"/>
      <c r="H205" s="50" t="str">
        <f t="shared" si="19"/>
        <v xml:space="preserve"> </v>
      </c>
      <c r="I205" s="50"/>
      <c r="J205" s="51" t="str">
        <f t="shared" si="14"/>
        <v/>
      </c>
      <c r="K205" s="51" t="str">
        <f t="shared" si="15"/>
        <v/>
      </c>
      <c r="L205" s="106" t="str">
        <f t="shared" si="20"/>
        <v xml:space="preserve"> </v>
      </c>
      <c r="M205" s="106" t="str">
        <f t="shared" si="16"/>
        <v xml:space="preserve"> </v>
      </c>
      <c r="N205" s="51" t="str">
        <f t="shared" si="17"/>
        <v xml:space="preserve"> </v>
      </c>
      <c r="O205" s="51"/>
      <c r="P205" s="51" t="str">
        <f t="shared" si="18"/>
        <v xml:space="preserve"> </v>
      </c>
    </row>
    <row r="206" spans="3:16" ht="15" x14ac:dyDescent="0.25">
      <c r="C206" s="93"/>
      <c r="H206" s="50" t="str">
        <f t="shared" si="19"/>
        <v xml:space="preserve"> </v>
      </c>
      <c r="I206" s="50"/>
      <c r="J206" s="51" t="str">
        <f t="shared" si="14"/>
        <v/>
      </c>
      <c r="K206" s="51" t="str">
        <f t="shared" si="15"/>
        <v/>
      </c>
      <c r="L206" s="106" t="str">
        <f t="shared" si="20"/>
        <v xml:space="preserve"> </v>
      </c>
      <c r="M206" s="106" t="str">
        <f t="shared" si="16"/>
        <v xml:space="preserve"> </v>
      </c>
      <c r="N206" s="51" t="str">
        <f t="shared" si="17"/>
        <v xml:space="preserve"> </v>
      </c>
      <c r="O206" s="51"/>
      <c r="P206" s="51" t="str">
        <f t="shared" si="18"/>
        <v xml:space="preserve"> </v>
      </c>
    </row>
    <row r="207" spans="3:16" ht="15" x14ac:dyDescent="0.25">
      <c r="C207" s="93"/>
      <c r="H207" s="50" t="str">
        <f t="shared" si="19"/>
        <v xml:space="preserve"> </v>
      </c>
      <c r="I207" s="50"/>
      <c r="J207" s="51" t="str">
        <f t="shared" si="14"/>
        <v/>
      </c>
      <c r="K207" s="51" t="str">
        <f t="shared" si="15"/>
        <v/>
      </c>
      <c r="L207" s="106" t="str">
        <f t="shared" si="20"/>
        <v xml:space="preserve"> </v>
      </c>
      <c r="M207" s="106" t="str">
        <f t="shared" si="16"/>
        <v xml:space="preserve"> </v>
      </c>
      <c r="N207" s="51" t="str">
        <f t="shared" si="17"/>
        <v xml:space="preserve"> </v>
      </c>
      <c r="O207" s="51"/>
      <c r="P207" s="51" t="str">
        <f t="shared" si="18"/>
        <v xml:space="preserve"> </v>
      </c>
    </row>
    <row r="208" spans="3:16" ht="15" x14ac:dyDescent="0.25">
      <c r="C208" s="93"/>
      <c r="H208" s="50" t="str">
        <f t="shared" si="19"/>
        <v xml:space="preserve"> </v>
      </c>
      <c r="I208" s="50"/>
      <c r="J208" s="51" t="str">
        <f t="shared" si="14"/>
        <v/>
      </c>
      <c r="K208" s="51" t="str">
        <f t="shared" si="15"/>
        <v/>
      </c>
      <c r="L208" s="106" t="str">
        <f t="shared" si="20"/>
        <v xml:space="preserve"> </v>
      </c>
      <c r="M208" s="106" t="str">
        <f t="shared" si="16"/>
        <v xml:space="preserve"> </v>
      </c>
      <c r="N208" s="51" t="str">
        <f t="shared" si="17"/>
        <v xml:space="preserve"> </v>
      </c>
      <c r="O208" s="51"/>
      <c r="P208" s="51" t="str">
        <f t="shared" si="18"/>
        <v xml:space="preserve"> </v>
      </c>
    </row>
    <row r="209" spans="3:16" ht="15" x14ac:dyDescent="0.25">
      <c r="C209" s="93"/>
      <c r="H209" s="50" t="str">
        <f t="shared" si="19"/>
        <v xml:space="preserve"> </v>
      </c>
      <c r="I209" s="50"/>
      <c r="J209" s="51" t="str">
        <f t="shared" si="14"/>
        <v/>
      </c>
      <c r="K209" s="51" t="str">
        <f t="shared" si="15"/>
        <v/>
      </c>
      <c r="L209" s="106" t="str">
        <f t="shared" si="20"/>
        <v xml:space="preserve"> </v>
      </c>
      <c r="M209" s="106" t="str">
        <f t="shared" si="16"/>
        <v xml:space="preserve"> </v>
      </c>
      <c r="N209" s="51" t="str">
        <f t="shared" si="17"/>
        <v xml:space="preserve"> </v>
      </c>
      <c r="O209" s="51"/>
      <c r="P209" s="51" t="str">
        <f t="shared" si="18"/>
        <v xml:space="preserve"> </v>
      </c>
    </row>
    <row r="210" spans="3:16" ht="15" x14ac:dyDescent="0.25">
      <c r="C210" s="93"/>
      <c r="H210" s="50" t="str">
        <f t="shared" si="19"/>
        <v xml:space="preserve"> </v>
      </c>
      <c r="I210" s="50"/>
      <c r="J210" s="51" t="str">
        <f t="shared" si="14"/>
        <v/>
      </c>
      <c r="K210" s="51" t="str">
        <f t="shared" si="15"/>
        <v/>
      </c>
      <c r="L210" s="106" t="str">
        <f t="shared" si="20"/>
        <v xml:space="preserve"> </v>
      </c>
      <c r="M210" s="106" t="str">
        <f t="shared" si="16"/>
        <v xml:space="preserve"> </v>
      </c>
      <c r="N210" s="51" t="str">
        <f t="shared" si="17"/>
        <v xml:space="preserve"> </v>
      </c>
      <c r="O210" s="51"/>
      <c r="P210" s="51" t="str">
        <f t="shared" si="18"/>
        <v xml:space="preserve"> </v>
      </c>
    </row>
    <row r="211" spans="3:16" ht="15" x14ac:dyDescent="0.25">
      <c r="C211" s="93"/>
      <c r="H211" s="50" t="str">
        <f t="shared" si="19"/>
        <v xml:space="preserve"> </v>
      </c>
      <c r="I211" s="50"/>
      <c r="J211" s="51" t="str">
        <f t="shared" ref="J211:J274" si="21">IF(H211&lt;&gt;$D$33,"",IF($D$23="Quincenal",$I$17*(1+$D$35*30/360)^($D$33/2),IF($D$23="Mensual",$I$17*(1+$D$35*30/360)^$D$33,IF($D$23="Bimensual",$I$17*(1+$D$35*30/360)^($D$33*2),IF($D$23="Trimestral",$I$17*(1+$D$35*30/360)^($D$33*3),IF($D$23="Cuatrimestral",$I$17*(1+$D$35*30/360)^($D$33*4),IF($D$23="Semestral",$I$17*(1+$D$35*30/360)^($D$33*6),IF($D$23="Anual",$I$17*(1+$D$35*30/360)^($D$33*12)))))))))</f>
        <v/>
      </c>
      <c r="K211" s="51" t="str">
        <f t="shared" ref="K211:K274" si="22">IF(H210&lt;=$U$17,IF(credito="Francesa",IF(H211&lt;=$U$17,$K210,0),IF(credito="Alemana",IF(H211&lt;=$U$17,L211+M211,0))),"")</f>
        <v/>
      </c>
      <c r="L211" s="106" t="str">
        <f t="shared" si="20"/>
        <v xml:space="preserve"> </v>
      </c>
      <c r="M211" s="106" t="str">
        <f t="shared" ref="M211:M274" si="23">IF(H211&lt;=$U$17,IF(credito="Francesa",K211-L211,IF(credito="Alemana",IF(H211&lt;=$U$17,$M210,0)))," ")</f>
        <v xml:space="preserve"> </v>
      </c>
      <c r="N211" s="51" t="str">
        <f t="shared" ref="N211:N274" si="24">IF(H211&lt;=$U$17,N210-M211," ")</f>
        <v xml:space="preserve"> </v>
      </c>
      <c r="O211" s="51"/>
      <c r="P211" s="51" t="str">
        <f t="shared" ref="P211:P274" si="25">IFERROR(SUM(IF(H211&lt;=$U$17,-K211," "),J211)," ")</f>
        <v xml:space="preserve"> </v>
      </c>
    </row>
    <row r="212" spans="3:16" ht="15" x14ac:dyDescent="0.25">
      <c r="C212" s="93"/>
      <c r="H212" s="50" t="str">
        <f t="shared" ref="H212:H275" si="26">IF($H211&gt;=$U$17," ",H211+1)</f>
        <v xml:space="preserve"> </v>
      </c>
      <c r="I212" s="50"/>
      <c r="J212" s="51" t="str">
        <f t="shared" si="21"/>
        <v/>
      </c>
      <c r="K212" s="51" t="str">
        <f t="shared" si="22"/>
        <v/>
      </c>
      <c r="L212" s="106" t="str">
        <f t="shared" ref="L212:L275" si="27">IF(H212&lt;=$U$17,N211*$D$28/$D$24," ")</f>
        <v xml:space="preserve"> </v>
      </c>
      <c r="M212" s="106" t="str">
        <f t="shared" si="23"/>
        <v xml:space="preserve"> </v>
      </c>
      <c r="N212" s="51" t="str">
        <f t="shared" si="24"/>
        <v xml:space="preserve"> </v>
      </c>
      <c r="O212" s="51"/>
      <c r="P212" s="51" t="str">
        <f t="shared" si="25"/>
        <v xml:space="preserve"> </v>
      </c>
    </row>
    <row r="213" spans="3:16" ht="15" x14ac:dyDescent="0.25">
      <c r="C213" s="93"/>
      <c r="H213" s="50" t="str">
        <f t="shared" si="26"/>
        <v xml:space="preserve"> </v>
      </c>
      <c r="I213" s="50"/>
      <c r="J213" s="51" t="str">
        <f t="shared" si="21"/>
        <v/>
      </c>
      <c r="K213" s="51" t="str">
        <f t="shared" si="22"/>
        <v/>
      </c>
      <c r="L213" s="106" t="str">
        <f t="shared" si="27"/>
        <v xml:space="preserve"> </v>
      </c>
      <c r="M213" s="106" t="str">
        <f t="shared" si="23"/>
        <v xml:space="preserve"> </v>
      </c>
      <c r="N213" s="51" t="str">
        <f t="shared" si="24"/>
        <v xml:space="preserve"> </v>
      </c>
      <c r="O213" s="51"/>
      <c r="P213" s="51" t="str">
        <f t="shared" si="25"/>
        <v xml:space="preserve"> </v>
      </c>
    </row>
    <row r="214" spans="3:16" ht="15" x14ac:dyDescent="0.25">
      <c r="C214" s="93"/>
      <c r="H214" s="50" t="str">
        <f t="shared" si="26"/>
        <v xml:space="preserve"> </v>
      </c>
      <c r="I214" s="50"/>
      <c r="J214" s="51" t="str">
        <f t="shared" si="21"/>
        <v/>
      </c>
      <c r="K214" s="51" t="str">
        <f t="shared" si="22"/>
        <v/>
      </c>
      <c r="L214" s="106" t="str">
        <f t="shared" si="27"/>
        <v xml:space="preserve"> </v>
      </c>
      <c r="M214" s="106" t="str">
        <f t="shared" si="23"/>
        <v xml:space="preserve"> </v>
      </c>
      <c r="N214" s="51" t="str">
        <f t="shared" si="24"/>
        <v xml:space="preserve"> </v>
      </c>
      <c r="O214" s="51"/>
      <c r="P214" s="51" t="str">
        <f t="shared" si="25"/>
        <v xml:space="preserve"> </v>
      </c>
    </row>
    <row r="215" spans="3:16" ht="15" x14ac:dyDescent="0.25">
      <c r="C215" s="93"/>
      <c r="H215" s="50" t="str">
        <f t="shared" si="26"/>
        <v xml:space="preserve"> </v>
      </c>
      <c r="I215" s="50"/>
      <c r="J215" s="51" t="str">
        <f t="shared" si="21"/>
        <v/>
      </c>
      <c r="K215" s="51" t="str">
        <f t="shared" si="22"/>
        <v/>
      </c>
      <c r="L215" s="106" t="str">
        <f t="shared" si="27"/>
        <v xml:space="preserve"> </v>
      </c>
      <c r="M215" s="106" t="str">
        <f t="shared" si="23"/>
        <v xml:space="preserve"> </v>
      </c>
      <c r="N215" s="51" t="str">
        <f t="shared" si="24"/>
        <v xml:space="preserve"> </v>
      </c>
      <c r="O215" s="51"/>
      <c r="P215" s="51" t="str">
        <f t="shared" si="25"/>
        <v xml:space="preserve"> </v>
      </c>
    </row>
    <row r="216" spans="3:16" ht="15" x14ac:dyDescent="0.25">
      <c r="C216" s="93"/>
      <c r="H216" s="50" t="str">
        <f t="shared" si="26"/>
        <v xml:space="preserve"> </v>
      </c>
      <c r="I216" s="50"/>
      <c r="J216" s="51" t="str">
        <f t="shared" si="21"/>
        <v/>
      </c>
      <c r="K216" s="51" t="str">
        <f t="shared" si="22"/>
        <v/>
      </c>
      <c r="L216" s="106" t="str">
        <f t="shared" si="27"/>
        <v xml:space="preserve"> </v>
      </c>
      <c r="M216" s="106" t="str">
        <f t="shared" si="23"/>
        <v xml:space="preserve"> </v>
      </c>
      <c r="N216" s="51" t="str">
        <f t="shared" si="24"/>
        <v xml:space="preserve"> </v>
      </c>
      <c r="O216" s="51"/>
      <c r="P216" s="51" t="str">
        <f t="shared" si="25"/>
        <v xml:space="preserve"> </v>
      </c>
    </row>
    <row r="217" spans="3:16" ht="15" x14ac:dyDescent="0.25">
      <c r="C217" s="93"/>
      <c r="H217" s="50" t="str">
        <f t="shared" si="26"/>
        <v xml:space="preserve"> </v>
      </c>
      <c r="I217" s="50"/>
      <c r="J217" s="51" t="str">
        <f t="shared" si="21"/>
        <v/>
      </c>
      <c r="K217" s="51" t="str">
        <f t="shared" si="22"/>
        <v/>
      </c>
      <c r="L217" s="106" t="str">
        <f t="shared" si="27"/>
        <v xml:space="preserve"> </v>
      </c>
      <c r="M217" s="106" t="str">
        <f t="shared" si="23"/>
        <v xml:space="preserve"> </v>
      </c>
      <c r="N217" s="51" t="str">
        <f t="shared" si="24"/>
        <v xml:space="preserve"> </v>
      </c>
      <c r="O217" s="51"/>
      <c r="P217" s="51" t="str">
        <f t="shared" si="25"/>
        <v xml:space="preserve"> </v>
      </c>
    </row>
    <row r="218" spans="3:16" ht="15" x14ac:dyDescent="0.25">
      <c r="C218" s="93"/>
      <c r="H218" s="50" t="str">
        <f t="shared" si="26"/>
        <v xml:space="preserve"> </v>
      </c>
      <c r="I218" s="50"/>
      <c r="J218" s="51" t="str">
        <f t="shared" si="21"/>
        <v/>
      </c>
      <c r="K218" s="51" t="str">
        <f t="shared" si="22"/>
        <v/>
      </c>
      <c r="L218" s="106" t="str">
        <f t="shared" si="27"/>
        <v xml:space="preserve"> </v>
      </c>
      <c r="M218" s="106" t="str">
        <f t="shared" si="23"/>
        <v xml:space="preserve"> </v>
      </c>
      <c r="N218" s="51" t="str">
        <f t="shared" si="24"/>
        <v xml:space="preserve"> </v>
      </c>
      <c r="O218" s="51"/>
      <c r="P218" s="51" t="str">
        <f t="shared" si="25"/>
        <v xml:space="preserve"> </v>
      </c>
    </row>
    <row r="219" spans="3:16" ht="15" x14ac:dyDescent="0.25">
      <c r="C219" s="93"/>
      <c r="H219" s="50" t="str">
        <f t="shared" si="26"/>
        <v xml:space="preserve"> </v>
      </c>
      <c r="I219" s="50"/>
      <c r="J219" s="51" t="str">
        <f t="shared" si="21"/>
        <v/>
      </c>
      <c r="K219" s="51" t="str">
        <f t="shared" si="22"/>
        <v/>
      </c>
      <c r="L219" s="106" t="str">
        <f t="shared" si="27"/>
        <v xml:space="preserve"> </v>
      </c>
      <c r="M219" s="106" t="str">
        <f t="shared" si="23"/>
        <v xml:space="preserve"> </v>
      </c>
      <c r="N219" s="51" t="str">
        <f t="shared" si="24"/>
        <v xml:space="preserve"> </v>
      </c>
      <c r="O219" s="51"/>
      <c r="P219" s="51" t="str">
        <f t="shared" si="25"/>
        <v xml:space="preserve"> </v>
      </c>
    </row>
    <row r="220" spans="3:16" ht="15" x14ac:dyDescent="0.25">
      <c r="C220" s="93"/>
      <c r="H220" s="50" t="str">
        <f t="shared" si="26"/>
        <v xml:space="preserve"> </v>
      </c>
      <c r="I220" s="50"/>
      <c r="J220" s="51" t="str">
        <f t="shared" si="21"/>
        <v/>
      </c>
      <c r="K220" s="51" t="str">
        <f t="shared" si="22"/>
        <v/>
      </c>
      <c r="L220" s="106" t="str">
        <f t="shared" si="27"/>
        <v xml:space="preserve"> </v>
      </c>
      <c r="M220" s="106" t="str">
        <f t="shared" si="23"/>
        <v xml:space="preserve"> </v>
      </c>
      <c r="N220" s="51" t="str">
        <f t="shared" si="24"/>
        <v xml:space="preserve"> </v>
      </c>
      <c r="O220" s="51"/>
      <c r="P220" s="51" t="str">
        <f t="shared" si="25"/>
        <v xml:space="preserve"> </v>
      </c>
    </row>
    <row r="221" spans="3:16" ht="15" x14ac:dyDescent="0.25">
      <c r="C221" s="93"/>
      <c r="H221" s="50" t="str">
        <f t="shared" si="26"/>
        <v xml:space="preserve"> </v>
      </c>
      <c r="I221" s="50"/>
      <c r="J221" s="51" t="str">
        <f t="shared" si="21"/>
        <v/>
      </c>
      <c r="K221" s="51" t="str">
        <f t="shared" si="22"/>
        <v/>
      </c>
      <c r="L221" s="106" t="str">
        <f t="shared" si="27"/>
        <v xml:space="preserve"> </v>
      </c>
      <c r="M221" s="106" t="str">
        <f t="shared" si="23"/>
        <v xml:space="preserve"> </v>
      </c>
      <c r="N221" s="51" t="str">
        <f t="shared" si="24"/>
        <v xml:space="preserve"> </v>
      </c>
      <c r="O221" s="51"/>
      <c r="P221" s="51" t="str">
        <f t="shared" si="25"/>
        <v xml:space="preserve"> </v>
      </c>
    </row>
    <row r="222" spans="3:16" ht="15" x14ac:dyDescent="0.25">
      <c r="C222" s="93"/>
      <c r="H222" s="50" t="str">
        <f t="shared" si="26"/>
        <v xml:space="preserve"> </v>
      </c>
      <c r="I222" s="50"/>
      <c r="J222" s="51" t="str">
        <f t="shared" si="21"/>
        <v/>
      </c>
      <c r="K222" s="51" t="str">
        <f t="shared" si="22"/>
        <v/>
      </c>
      <c r="L222" s="106" t="str">
        <f t="shared" si="27"/>
        <v xml:space="preserve"> </v>
      </c>
      <c r="M222" s="106" t="str">
        <f t="shared" si="23"/>
        <v xml:space="preserve"> </v>
      </c>
      <c r="N222" s="51" t="str">
        <f t="shared" si="24"/>
        <v xml:space="preserve"> </v>
      </c>
      <c r="O222" s="51"/>
      <c r="P222" s="51" t="str">
        <f t="shared" si="25"/>
        <v xml:space="preserve"> </v>
      </c>
    </row>
    <row r="223" spans="3:16" ht="15" x14ac:dyDescent="0.25">
      <c r="C223" s="93"/>
      <c r="H223" s="50" t="str">
        <f t="shared" si="26"/>
        <v xml:space="preserve"> </v>
      </c>
      <c r="I223" s="50"/>
      <c r="J223" s="51" t="str">
        <f t="shared" si="21"/>
        <v/>
      </c>
      <c r="K223" s="51" t="str">
        <f t="shared" si="22"/>
        <v/>
      </c>
      <c r="L223" s="106" t="str">
        <f t="shared" si="27"/>
        <v xml:space="preserve"> </v>
      </c>
      <c r="M223" s="106" t="str">
        <f t="shared" si="23"/>
        <v xml:space="preserve"> </v>
      </c>
      <c r="N223" s="51" t="str">
        <f t="shared" si="24"/>
        <v xml:space="preserve"> </v>
      </c>
      <c r="O223" s="51"/>
      <c r="P223" s="51" t="str">
        <f t="shared" si="25"/>
        <v xml:space="preserve"> </v>
      </c>
    </row>
    <row r="224" spans="3:16" ht="15" x14ac:dyDescent="0.25">
      <c r="C224" s="93"/>
      <c r="H224" s="50" t="str">
        <f t="shared" si="26"/>
        <v xml:space="preserve"> </v>
      </c>
      <c r="I224" s="50"/>
      <c r="J224" s="51" t="str">
        <f t="shared" si="21"/>
        <v/>
      </c>
      <c r="K224" s="51" t="str">
        <f t="shared" si="22"/>
        <v/>
      </c>
      <c r="L224" s="106" t="str">
        <f t="shared" si="27"/>
        <v xml:space="preserve"> </v>
      </c>
      <c r="M224" s="106" t="str">
        <f t="shared" si="23"/>
        <v xml:space="preserve"> </v>
      </c>
      <c r="N224" s="51" t="str">
        <f t="shared" si="24"/>
        <v xml:space="preserve"> </v>
      </c>
      <c r="O224" s="51"/>
      <c r="P224" s="51" t="str">
        <f t="shared" si="25"/>
        <v xml:space="preserve"> </v>
      </c>
    </row>
    <row r="225" spans="8:16" ht="15" x14ac:dyDescent="0.25">
      <c r="H225" s="50" t="str">
        <f t="shared" si="26"/>
        <v xml:space="preserve"> </v>
      </c>
      <c r="I225" s="50"/>
      <c r="J225" s="51" t="str">
        <f t="shared" si="21"/>
        <v/>
      </c>
      <c r="K225" s="51" t="str">
        <f t="shared" si="22"/>
        <v/>
      </c>
      <c r="L225" s="106" t="str">
        <f t="shared" si="27"/>
        <v xml:space="preserve"> </v>
      </c>
      <c r="M225" s="106" t="str">
        <f t="shared" si="23"/>
        <v xml:space="preserve"> </v>
      </c>
      <c r="N225" s="51" t="str">
        <f t="shared" si="24"/>
        <v xml:space="preserve"> </v>
      </c>
      <c r="O225" s="51"/>
      <c r="P225" s="51" t="str">
        <f t="shared" si="25"/>
        <v xml:space="preserve"> </v>
      </c>
    </row>
    <row r="226" spans="8:16" ht="15" x14ac:dyDescent="0.25">
      <c r="H226" s="50" t="str">
        <f t="shared" si="26"/>
        <v xml:space="preserve"> </v>
      </c>
      <c r="I226" s="50"/>
      <c r="J226" s="51" t="str">
        <f t="shared" si="21"/>
        <v/>
      </c>
      <c r="K226" s="51" t="str">
        <f t="shared" si="22"/>
        <v/>
      </c>
      <c r="L226" s="106" t="str">
        <f t="shared" si="27"/>
        <v xml:space="preserve"> </v>
      </c>
      <c r="M226" s="106" t="str">
        <f t="shared" si="23"/>
        <v xml:space="preserve"> </v>
      </c>
      <c r="N226" s="51" t="str">
        <f t="shared" si="24"/>
        <v xml:space="preserve"> </v>
      </c>
      <c r="O226" s="51"/>
      <c r="P226" s="51" t="str">
        <f t="shared" si="25"/>
        <v xml:space="preserve"> </v>
      </c>
    </row>
    <row r="227" spans="8:16" ht="15" x14ac:dyDescent="0.25">
      <c r="H227" s="50" t="str">
        <f t="shared" si="26"/>
        <v xml:space="preserve"> </v>
      </c>
      <c r="I227" s="50"/>
      <c r="J227" s="51" t="str">
        <f t="shared" si="21"/>
        <v/>
      </c>
      <c r="K227" s="51" t="str">
        <f t="shared" si="22"/>
        <v/>
      </c>
      <c r="L227" s="106" t="str">
        <f t="shared" si="27"/>
        <v xml:space="preserve"> </v>
      </c>
      <c r="M227" s="106" t="str">
        <f t="shared" si="23"/>
        <v xml:space="preserve"> </v>
      </c>
      <c r="N227" s="51" t="str">
        <f t="shared" si="24"/>
        <v xml:space="preserve"> </v>
      </c>
      <c r="O227" s="51"/>
      <c r="P227" s="51" t="str">
        <f t="shared" si="25"/>
        <v xml:space="preserve"> </v>
      </c>
    </row>
    <row r="228" spans="8:16" ht="15" x14ac:dyDescent="0.25">
      <c r="H228" s="50" t="str">
        <f t="shared" si="26"/>
        <v xml:space="preserve"> </v>
      </c>
      <c r="I228" s="50"/>
      <c r="J228" s="51" t="str">
        <f t="shared" si="21"/>
        <v/>
      </c>
      <c r="K228" s="51" t="str">
        <f t="shared" si="22"/>
        <v/>
      </c>
      <c r="L228" s="106" t="str">
        <f t="shared" si="27"/>
        <v xml:space="preserve"> </v>
      </c>
      <c r="M228" s="106" t="str">
        <f t="shared" si="23"/>
        <v xml:space="preserve"> </v>
      </c>
      <c r="N228" s="51" t="str">
        <f t="shared" si="24"/>
        <v xml:space="preserve"> </v>
      </c>
      <c r="O228" s="51"/>
      <c r="P228" s="51" t="str">
        <f t="shared" si="25"/>
        <v xml:space="preserve"> </v>
      </c>
    </row>
    <row r="229" spans="8:16" ht="15" x14ac:dyDescent="0.25">
      <c r="H229" s="50" t="str">
        <f t="shared" si="26"/>
        <v xml:space="preserve"> </v>
      </c>
      <c r="I229" s="50"/>
      <c r="J229" s="51" t="str">
        <f t="shared" si="21"/>
        <v/>
      </c>
      <c r="K229" s="51" t="str">
        <f t="shared" si="22"/>
        <v/>
      </c>
      <c r="L229" s="106" t="str">
        <f t="shared" si="27"/>
        <v xml:space="preserve"> </v>
      </c>
      <c r="M229" s="106" t="str">
        <f t="shared" si="23"/>
        <v xml:space="preserve"> </v>
      </c>
      <c r="N229" s="51" t="str">
        <f t="shared" si="24"/>
        <v xml:space="preserve"> </v>
      </c>
      <c r="O229" s="51"/>
      <c r="P229" s="51" t="str">
        <f t="shared" si="25"/>
        <v xml:space="preserve"> </v>
      </c>
    </row>
    <row r="230" spans="8:16" ht="15" x14ac:dyDescent="0.25">
      <c r="H230" s="50" t="str">
        <f t="shared" si="26"/>
        <v xml:space="preserve"> </v>
      </c>
      <c r="I230" s="50"/>
      <c r="J230" s="51" t="str">
        <f t="shared" si="21"/>
        <v/>
      </c>
      <c r="K230" s="51" t="str">
        <f t="shared" si="22"/>
        <v/>
      </c>
      <c r="L230" s="106" t="str">
        <f t="shared" si="27"/>
        <v xml:space="preserve"> </v>
      </c>
      <c r="M230" s="106" t="str">
        <f t="shared" si="23"/>
        <v xml:space="preserve"> </v>
      </c>
      <c r="N230" s="51" t="str">
        <f t="shared" si="24"/>
        <v xml:space="preserve"> </v>
      </c>
      <c r="O230" s="51"/>
      <c r="P230" s="51" t="str">
        <f t="shared" si="25"/>
        <v xml:space="preserve"> </v>
      </c>
    </row>
    <row r="231" spans="8:16" ht="15" x14ac:dyDescent="0.25">
      <c r="H231" s="50" t="str">
        <f t="shared" si="26"/>
        <v xml:space="preserve"> </v>
      </c>
      <c r="I231" s="50"/>
      <c r="J231" s="51" t="str">
        <f t="shared" si="21"/>
        <v/>
      </c>
      <c r="K231" s="51" t="str">
        <f t="shared" si="22"/>
        <v/>
      </c>
      <c r="L231" s="106" t="str">
        <f t="shared" si="27"/>
        <v xml:space="preserve"> </v>
      </c>
      <c r="M231" s="106" t="str">
        <f t="shared" si="23"/>
        <v xml:space="preserve"> </v>
      </c>
      <c r="N231" s="51" t="str">
        <f t="shared" si="24"/>
        <v xml:space="preserve"> </v>
      </c>
      <c r="O231" s="51"/>
      <c r="P231" s="51" t="str">
        <f t="shared" si="25"/>
        <v xml:space="preserve"> </v>
      </c>
    </row>
    <row r="232" spans="8:16" ht="15" x14ac:dyDescent="0.25">
      <c r="H232" s="50" t="str">
        <f t="shared" si="26"/>
        <v xml:space="preserve"> </v>
      </c>
      <c r="I232" s="50"/>
      <c r="J232" s="51" t="str">
        <f t="shared" si="21"/>
        <v/>
      </c>
      <c r="K232" s="51" t="str">
        <f t="shared" si="22"/>
        <v/>
      </c>
      <c r="L232" s="106" t="str">
        <f t="shared" si="27"/>
        <v xml:space="preserve"> </v>
      </c>
      <c r="M232" s="106" t="str">
        <f t="shared" si="23"/>
        <v xml:space="preserve"> </v>
      </c>
      <c r="N232" s="51" t="str">
        <f t="shared" si="24"/>
        <v xml:space="preserve"> </v>
      </c>
      <c r="O232" s="51"/>
      <c r="P232" s="51" t="str">
        <f t="shared" si="25"/>
        <v xml:space="preserve"> </v>
      </c>
    </row>
    <row r="233" spans="8:16" ht="15" x14ac:dyDescent="0.25">
      <c r="H233" s="50" t="str">
        <f t="shared" si="26"/>
        <v xml:space="preserve"> </v>
      </c>
      <c r="I233" s="50"/>
      <c r="J233" s="51" t="str">
        <f t="shared" si="21"/>
        <v/>
      </c>
      <c r="K233" s="51" t="str">
        <f t="shared" si="22"/>
        <v/>
      </c>
      <c r="L233" s="106" t="str">
        <f t="shared" si="27"/>
        <v xml:space="preserve"> </v>
      </c>
      <c r="M233" s="106" t="str">
        <f t="shared" si="23"/>
        <v xml:space="preserve"> </v>
      </c>
      <c r="N233" s="51" t="str">
        <f t="shared" si="24"/>
        <v xml:space="preserve"> </v>
      </c>
      <c r="O233" s="51"/>
      <c r="P233" s="51" t="str">
        <f t="shared" si="25"/>
        <v xml:space="preserve"> </v>
      </c>
    </row>
    <row r="234" spans="8:16" ht="15" x14ac:dyDescent="0.25">
      <c r="H234" s="50" t="str">
        <f t="shared" si="26"/>
        <v xml:space="preserve"> </v>
      </c>
      <c r="I234" s="50"/>
      <c r="J234" s="51" t="str">
        <f t="shared" si="21"/>
        <v/>
      </c>
      <c r="K234" s="51" t="str">
        <f t="shared" si="22"/>
        <v/>
      </c>
      <c r="L234" s="106" t="str">
        <f t="shared" si="27"/>
        <v xml:space="preserve"> </v>
      </c>
      <c r="M234" s="106" t="str">
        <f t="shared" si="23"/>
        <v xml:space="preserve"> </v>
      </c>
      <c r="N234" s="51" t="str">
        <f t="shared" si="24"/>
        <v xml:space="preserve"> </v>
      </c>
      <c r="O234" s="51"/>
      <c r="P234" s="51" t="str">
        <f t="shared" si="25"/>
        <v xml:space="preserve"> </v>
      </c>
    </row>
    <row r="235" spans="8:16" ht="15" x14ac:dyDescent="0.25">
      <c r="H235" s="50" t="str">
        <f t="shared" si="26"/>
        <v xml:space="preserve"> </v>
      </c>
      <c r="I235" s="50"/>
      <c r="J235" s="51" t="str">
        <f t="shared" si="21"/>
        <v/>
      </c>
      <c r="K235" s="51" t="str">
        <f t="shared" si="22"/>
        <v/>
      </c>
      <c r="L235" s="106" t="str">
        <f t="shared" si="27"/>
        <v xml:space="preserve"> </v>
      </c>
      <c r="M235" s="106" t="str">
        <f t="shared" si="23"/>
        <v xml:space="preserve"> </v>
      </c>
      <c r="N235" s="51" t="str">
        <f t="shared" si="24"/>
        <v xml:space="preserve"> </v>
      </c>
      <c r="O235" s="51"/>
      <c r="P235" s="51" t="str">
        <f t="shared" si="25"/>
        <v xml:space="preserve"> </v>
      </c>
    </row>
    <row r="236" spans="8:16" ht="15" x14ac:dyDescent="0.25">
      <c r="H236" s="50" t="str">
        <f t="shared" si="26"/>
        <v xml:space="preserve"> </v>
      </c>
      <c r="I236" s="50"/>
      <c r="J236" s="51" t="str">
        <f t="shared" si="21"/>
        <v/>
      </c>
      <c r="K236" s="51" t="str">
        <f t="shared" si="22"/>
        <v/>
      </c>
      <c r="L236" s="106" t="str">
        <f t="shared" si="27"/>
        <v xml:space="preserve"> </v>
      </c>
      <c r="M236" s="106" t="str">
        <f t="shared" si="23"/>
        <v xml:space="preserve"> </v>
      </c>
      <c r="N236" s="51" t="str">
        <f t="shared" si="24"/>
        <v xml:space="preserve"> </v>
      </c>
      <c r="O236" s="51"/>
      <c r="P236" s="51" t="str">
        <f t="shared" si="25"/>
        <v xml:space="preserve"> </v>
      </c>
    </row>
    <row r="237" spans="8:16" ht="15" x14ac:dyDescent="0.25">
      <c r="H237" s="50" t="str">
        <f t="shared" si="26"/>
        <v xml:space="preserve"> </v>
      </c>
      <c r="I237" s="50"/>
      <c r="J237" s="51" t="str">
        <f t="shared" si="21"/>
        <v/>
      </c>
      <c r="K237" s="51" t="str">
        <f t="shared" si="22"/>
        <v/>
      </c>
      <c r="L237" s="106" t="str">
        <f t="shared" si="27"/>
        <v xml:space="preserve"> </v>
      </c>
      <c r="M237" s="106" t="str">
        <f t="shared" si="23"/>
        <v xml:space="preserve"> </v>
      </c>
      <c r="N237" s="51" t="str">
        <f t="shared" si="24"/>
        <v xml:space="preserve"> </v>
      </c>
      <c r="O237" s="51"/>
      <c r="P237" s="51" t="str">
        <f t="shared" si="25"/>
        <v xml:space="preserve"> </v>
      </c>
    </row>
    <row r="238" spans="8:16" ht="15" x14ac:dyDescent="0.25">
      <c r="H238" s="50" t="str">
        <f t="shared" si="26"/>
        <v xml:space="preserve"> </v>
      </c>
      <c r="I238" s="50"/>
      <c r="J238" s="51" t="str">
        <f t="shared" si="21"/>
        <v/>
      </c>
      <c r="K238" s="51" t="str">
        <f t="shared" si="22"/>
        <v/>
      </c>
      <c r="L238" s="106" t="str">
        <f t="shared" si="27"/>
        <v xml:space="preserve"> </v>
      </c>
      <c r="M238" s="106" t="str">
        <f t="shared" si="23"/>
        <v xml:space="preserve"> </v>
      </c>
      <c r="N238" s="51" t="str">
        <f t="shared" si="24"/>
        <v xml:space="preserve"> </v>
      </c>
      <c r="O238" s="51"/>
      <c r="P238" s="51" t="str">
        <f t="shared" si="25"/>
        <v xml:space="preserve"> </v>
      </c>
    </row>
    <row r="239" spans="8:16" ht="15" x14ac:dyDescent="0.25">
      <c r="H239" s="50" t="str">
        <f t="shared" si="26"/>
        <v xml:space="preserve"> </v>
      </c>
      <c r="I239" s="50"/>
      <c r="J239" s="51" t="str">
        <f t="shared" si="21"/>
        <v/>
      </c>
      <c r="K239" s="51" t="str">
        <f t="shared" si="22"/>
        <v/>
      </c>
      <c r="L239" s="106" t="str">
        <f t="shared" si="27"/>
        <v xml:space="preserve"> </v>
      </c>
      <c r="M239" s="106" t="str">
        <f t="shared" si="23"/>
        <v xml:space="preserve"> </v>
      </c>
      <c r="N239" s="51" t="str">
        <f t="shared" si="24"/>
        <v xml:space="preserve"> </v>
      </c>
      <c r="O239" s="51"/>
      <c r="P239" s="51" t="str">
        <f t="shared" si="25"/>
        <v xml:space="preserve"> </v>
      </c>
    </row>
    <row r="240" spans="8:16" ht="15" x14ac:dyDescent="0.25">
      <c r="H240" s="50" t="str">
        <f t="shared" si="26"/>
        <v xml:space="preserve"> </v>
      </c>
      <c r="I240" s="50"/>
      <c r="J240" s="51" t="str">
        <f t="shared" si="21"/>
        <v/>
      </c>
      <c r="K240" s="51" t="str">
        <f t="shared" si="22"/>
        <v/>
      </c>
      <c r="L240" s="106" t="str">
        <f t="shared" si="27"/>
        <v xml:space="preserve"> </v>
      </c>
      <c r="M240" s="106" t="str">
        <f t="shared" si="23"/>
        <v xml:space="preserve"> </v>
      </c>
      <c r="N240" s="51" t="str">
        <f t="shared" si="24"/>
        <v xml:space="preserve"> </v>
      </c>
      <c r="O240" s="51"/>
      <c r="P240" s="51" t="str">
        <f t="shared" si="25"/>
        <v xml:space="preserve"> </v>
      </c>
    </row>
    <row r="241" spans="8:16" ht="15" x14ac:dyDescent="0.25">
      <c r="H241" s="50" t="str">
        <f t="shared" si="26"/>
        <v xml:space="preserve"> </v>
      </c>
      <c r="I241" s="50"/>
      <c r="J241" s="51" t="str">
        <f t="shared" si="21"/>
        <v/>
      </c>
      <c r="K241" s="51" t="str">
        <f t="shared" si="22"/>
        <v/>
      </c>
      <c r="L241" s="106" t="str">
        <f t="shared" si="27"/>
        <v xml:space="preserve"> </v>
      </c>
      <c r="M241" s="106" t="str">
        <f t="shared" si="23"/>
        <v xml:space="preserve"> </v>
      </c>
      <c r="N241" s="51" t="str">
        <f t="shared" si="24"/>
        <v xml:space="preserve"> </v>
      </c>
      <c r="O241" s="51"/>
      <c r="P241" s="51" t="str">
        <f t="shared" si="25"/>
        <v xml:space="preserve"> </v>
      </c>
    </row>
    <row r="242" spans="8:16" ht="15" x14ac:dyDescent="0.25">
      <c r="H242" s="50" t="str">
        <f t="shared" si="26"/>
        <v xml:space="preserve"> </v>
      </c>
      <c r="I242" s="50"/>
      <c r="J242" s="51" t="str">
        <f t="shared" si="21"/>
        <v/>
      </c>
      <c r="K242" s="51" t="str">
        <f t="shared" si="22"/>
        <v/>
      </c>
      <c r="L242" s="106" t="str">
        <f t="shared" si="27"/>
        <v xml:space="preserve"> </v>
      </c>
      <c r="M242" s="106" t="str">
        <f t="shared" si="23"/>
        <v xml:space="preserve"> </v>
      </c>
      <c r="N242" s="51" t="str">
        <f t="shared" si="24"/>
        <v xml:space="preserve"> </v>
      </c>
      <c r="O242" s="51"/>
      <c r="P242" s="51" t="str">
        <f t="shared" si="25"/>
        <v xml:space="preserve"> </v>
      </c>
    </row>
    <row r="243" spans="8:16" ht="15" x14ac:dyDescent="0.25">
      <c r="H243" s="50" t="str">
        <f t="shared" si="26"/>
        <v xml:space="preserve"> </v>
      </c>
      <c r="I243" s="50"/>
      <c r="J243" s="51" t="str">
        <f t="shared" si="21"/>
        <v/>
      </c>
      <c r="K243" s="51" t="str">
        <f t="shared" si="22"/>
        <v/>
      </c>
      <c r="L243" s="106" t="str">
        <f t="shared" si="27"/>
        <v xml:space="preserve"> </v>
      </c>
      <c r="M243" s="106" t="str">
        <f t="shared" si="23"/>
        <v xml:space="preserve"> </v>
      </c>
      <c r="N243" s="51" t="str">
        <f t="shared" si="24"/>
        <v xml:space="preserve"> </v>
      </c>
      <c r="O243" s="51"/>
      <c r="P243" s="51" t="str">
        <f t="shared" si="25"/>
        <v xml:space="preserve"> </v>
      </c>
    </row>
    <row r="244" spans="8:16" ht="15" x14ac:dyDescent="0.25">
      <c r="H244" s="50" t="str">
        <f t="shared" si="26"/>
        <v xml:space="preserve"> </v>
      </c>
      <c r="I244" s="50"/>
      <c r="J244" s="51" t="str">
        <f t="shared" si="21"/>
        <v/>
      </c>
      <c r="K244" s="51" t="str">
        <f t="shared" si="22"/>
        <v/>
      </c>
      <c r="L244" s="106" t="str">
        <f t="shared" si="27"/>
        <v xml:space="preserve"> </v>
      </c>
      <c r="M244" s="106" t="str">
        <f t="shared" si="23"/>
        <v xml:space="preserve"> </v>
      </c>
      <c r="N244" s="51" t="str">
        <f t="shared" si="24"/>
        <v xml:space="preserve"> </v>
      </c>
      <c r="O244" s="51"/>
      <c r="P244" s="51" t="str">
        <f t="shared" si="25"/>
        <v xml:space="preserve"> </v>
      </c>
    </row>
    <row r="245" spans="8:16" ht="15" x14ac:dyDescent="0.25">
      <c r="H245" s="50" t="str">
        <f t="shared" si="26"/>
        <v xml:space="preserve"> </v>
      </c>
      <c r="I245" s="50"/>
      <c r="J245" s="51" t="str">
        <f t="shared" si="21"/>
        <v/>
      </c>
      <c r="K245" s="51" t="str">
        <f t="shared" si="22"/>
        <v/>
      </c>
      <c r="L245" s="106" t="str">
        <f t="shared" si="27"/>
        <v xml:space="preserve"> </v>
      </c>
      <c r="M245" s="106" t="str">
        <f t="shared" si="23"/>
        <v xml:space="preserve"> </v>
      </c>
      <c r="N245" s="51" t="str">
        <f t="shared" si="24"/>
        <v xml:space="preserve"> </v>
      </c>
      <c r="O245" s="51"/>
      <c r="P245" s="51" t="str">
        <f t="shared" si="25"/>
        <v xml:space="preserve"> </v>
      </c>
    </row>
    <row r="246" spans="8:16" ht="15" x14ac:dyDescent="0.25">
      <c r="H246" s="50" t="str">
        <f t="shared" si="26"/>
        <v xml:space="preserve"> </v>
      </c>
      <c r="I246" s="50"/>
      <c r="J246" s="51" t="str">
        <f t="shared" si="21"/>
        <v/>
      </c>
      <c r="K246" s="51" t="str">
        <f t="shared" si="22"/>
        <v/>
      </c>
      <c r="L246" s="106" t="str">
        <f t="shared" si="27"/>
        <v xml:space="preserve"> </v>
      </c>
      <c r="M246" s="106" t="str">
        <f t="shared" si="23"/>
        <v xml:space="preserve"> </v>
      </c>
      <c r="N246" s="51" t="str">
        <f t="shared" si="24"/>
        <v xml:space="preserve"> </v>
      </c>
      <c r="O246" s="51"/>
      <c r="P246" s="51" t="str">
        <f t="shared" si="25"/>
        <v xml:space="preserve"> </v>
      </c>
    </row>
    <row r="247" spans="8:16" ht="15" x14ac:dyDescent="0.25">
      <c r="H247" s="50" t="str">
        <f t="shared" si="26"/>
        <v xml:space="preserve"> </v>
      </c>
      <c r="I247" s="50"/>
      <c r="J247" s="51" t="str">
        <f t="shared" si="21"/>
        <v/>
      </c>
      <c r="K247" s="51" t="str">
        <f t="shared" si="22"/>
        <v/>
      </c>
      <c r="L247" s="106" t="str">
        <f t="shared" si="27"/>
        <v xml:space="preserve"> </v>
      </c>
      <c r="M247" s="106" t="str">
        <f t="shared" si="23"/>
        <v xml:space="preserve"> </v>
      </c>
      <c r="N247" s="51" t="str">
        <f t="shared" si="24"/>
        <v xml:space="preserve"> </v>
      </c>
      <c r="O247" s="51"/>
      <c r="P247" s="51" t="str">
        <f t="shared" si="25"/>
        <v xml:space="preserve"> </v>
      </c>
    </row>
    <row r="248" spans="8:16" ht="15" x14ac:dyDescent="0.25">
      <c r="H248" s="50" t="str">
        <f t="shared" si="26"/>
        <v xml:space="preserve"> </v>
      </c>
      <c r="I248" s="50"/>
      <c r="J248" s="51" t="str">
        <f t="shared" si="21"/>
        <v/>
      </c>
      <c r="K248" s="51" t="str">
        <f t="shared" si="22"/>
        <v/>
      </c>
      <c r="L248" s="106" t="str">
        <f t="shared" si="27"/>
        <v xml:space="preserve"> </v>
      </c>
      <c r="M248" s="106" t="str">
        <f t="shared" si="23"/>
        <v xml:space="preserve"> </v>
      </c>
      <c r="N248" s="51" t="str">
        <f t="shared" si="24"/>
        <v xml:space="preserve"> </v>
      </c>
      <c r="O248" s="51"/>
      <c r="P248" s="51" t="str">
        <f t="shared" si="25"/>
        <v xml:space="preserve"> </v>
      </c>
    </row>
    <row r="249" spans="8:16" ht="15" x14ac:dyDescent="0.25">
      <c r="H249" s="50" t="str">
        <f t="shared" si="26"/>
        <v xml:space="preserve"> </v>
      </c>
      <c r="I249" s="50"/>
      <c r="J249" s="51" t="str">
        <f t="shared" si="21"/>
        <v/>
      </c>
      <c r="K249" s="51" t="str">
        <f t="shared" si="22"/>
        <v/>
      </c>
      <c r="L249" s="106" t="str">
        <f t="shared" si="27"/>
        <v xml:space="preserve"> </v>
      </c>
      <c r="M249" s="106" t="str">
        <f t="shared" si="23"/>
        <v xml:space="preserve"> </v>
      </c>
      <c r="N249" s="51" t="str">
        <f t="shared" si="24"/>
        <v xml:space="preserve"> </v>
      </c>
      <c r="O249" s="51"/>
      <c r="P249" s="51" t="str">
        <f t="shared" si="25"/>
        <v xml:space="preserve"> </v>
      </c>
    </row>
    <row r="250" spans="8:16" ht="15" x14ac:dyDescent="0.25">
      <c r="H250" s="50" t="str">
        <f t="shared" si="26"/>
        <v xml:space="preserve"> </v>
      </c>
      <c r="I250" s="50"/>
      <c r="J250" s="51" t="str">
        <f t="shared" si="21"/>
        <v/>
      </c>
      <c r="K250" s="51" t="str">
        <f t="shared" si="22"/>
        <v/>
      </c>
      <c r="L250" s="106" t="str">
        <f t="shared" si="27"/>
        <v xml:space="preserve"> </v>
      </c>
      <c r="M250" s="106" t="str">
        <f t="shared" si="23"/>
        <v xml:space="preserve"> </v>
      </c>
      <c r="N250" s="51" t="str">
        <f t="shared" si="24"/>
        <v xml:space="preserve"> </v>
      </c>
      <c r="O250" s="51"/>
      <c r="P250" s="51" t="str">
        <f t="shared" si="25"/>
        <v xml:space="preserve"> </v>
      </c>
    </row>
    <row r="251" spans="8:16" ht="15" x14ac:dyDescent="0.25">
      <c r="H251" s="50" t="str">
        <f t="shared" si="26"/>
        <v xml:space="preserve"> </v>
      </c>
      <c r="I251" s="50"/>
      <c r="J251" s="51" t="str">
        <f t="shared" si="21"/>
        <v/>
      </c>
      <c r="K251" s="51" t="str">
        <f t="shared" si="22"/>
        <v/>
      </c>
      <c r="L251" s="106" t="str">
        <f t="shared" si="27"/>
        <v xml:space="preserve"> </v>
      </c>
      <c r="M251" s="106" t="str">
        <f t="shared" si="23"/>
        <v xml:space="preserve"> </v>
      </c>
      <c r="N251" s="51" t="str">
        <f t="shared" si="24"/>
        <v xml:space="preserve"> </v>
      </c>
      <c r="O251" s="51"/>
      <c r="P251" s="51" t="str">
        <f t="shared" si="25"/>
        <v xml:space="preserve"> </v>
      </c>
    </row>
    <row r="252" spans="8:16" ht="15" x14ac:dyDescent="0.25">
      <c r="H252" s="50" t="str">
        <f t="shared" si="26"/>
        <v xml:space="preserve"> </v>
      </c>
      <c r="I252" s="50"/>
      <c r="J252" s="51" t="str">
        <f t="shared" si="21"/>
        <v/>
      </c>
      <c r="K252" s="51" t="str">
        <f t="shared" si="22"/>
        <v/>
      </c>
      <c r="L252" s="106" t="str">
        <f t="shared" si="27"/>
        <v xml:space="preserve"> </v>
      </c>
      <c r="M252" s="106" t="str">
        <f t="shared" si="23"/>
        <v xml:space="preserve"> </v>
      </c>
      <c r="N252" s="51" t="str">
        <f t="shared" si="24"/>
        <v xml:space="preserve"> </v>
      </c>
      <c r="O252" s="51"/>
      <c r="P252" s="51" t="str">
        <f t="shared" si="25"/>
        <v xml:space="preserve"> </v>
      </c>
    </row>
    <row r="253" spans="8:16" ht="15" x14ac:dyDescent="0.25">
      <c r="H253" s="50" t="str">
        <f t="shared" si="26"/>
        <v xml:space="preserve"> </v>
      </c>
      <c r="I253" s="50"/>
      <c r="J253" s="51" t="str">
        <f t="shared" si="21"/>
        <v/>
      </c>
      <c r="K253" s="51" t="str">
        <f t="shared" si="22"/>
        <v/>
      </c>
      <c r="L253" s="106" t="str">
        <f t="shared" si="27"/>
        <v xml:space="preserve"> </v>
      </c>
      <c r="M253" s="106" t="str">
        <f t="shared" si="23"/>
        <v xml:space="preserve"> </v>
      </c>
      <c r="N253" s="51" t="str">
        <f t="shared" si="24"/>
        <v xml:space="preserve"> </v>
      </c>
      <c r="O253" s="51"/>
      <c r="P253" s="51" t="str">
        <f t="shared" si="25"/>
        <v xml:space="preserve"> </v>
      </c>
    </row>
    <row r="254" spans="8:16" ht="15" x14ac:dyDescent="0.25">
      <c r="H254" s="50" t="str">
        <f t="shared" si="26"/>
        <v xml:space="preserve"> </v>
      </c>
      <c r="I254" s="50"/>
      <c r="J254" s="51" t="str">
        <f t="shared" si="21"/>
        <v/>
      </c>
      <c r="K254" s="51" t="str">
        <f t="shared" si="22"/>
        <v/>
      </c>
      <c r="L254" s="106" t="str">
        <f t="shared" si="27"/>
        <v xml:space="preserve"> </v>
      </c>
      <c r="M254" s="106" t="str">
        <f t="shared" si="23"/>
        <v xml:space="preserve"> </v>
      </c>
      <c r="N254" s="51" t="str">
        <f t="shared" si="24"/>
        <v xml:space="preserve"> </v>
      </c>
      <c r="O254" s="51"/>
      <c r="P254" s="51" t="str">
        <f t="shared" si="25"/>
        <v xml:space="preserve"> </v>
      </c>
    </row>
    <row r="255" spans="8:16" ht="15" x14ac:dyDescent="0.25">
      <c r="H255" s="50" t="str">
        <f t="shared" si="26"/>
        <v xml:space="preserve"> </v>
      </c>
      <c r="I255" s="50"/>
      <c r="J255" s="51" t="str">
        <f t="shared" si="21"/>
        <v/>
      </c>
      <c r="K255" s="51" t="str">
        <f t="shared" si="22"/>
        <v/>
      </c>
      <c r="L255" s="106" t="str">
        <f t="shared" si="27"/>
        <v xml:space="preserve"> </v>
      </c>
      <c r="M255" s="106" t="str">
        <f t="shared" si="23"/>
        <v xml:space="preserve"> </v>
      </c>
      <c r="N255" s="51" t="str">
        <f t="shared" si="24"/>
        <v xml:space="preserve"> </v>
      </c>
      <c r="O255" s="51"/>
      <c r="P255" s="51" t="str">
        <f t="shared" si="25"/>
        <v xml:space="preserve"> </v>
      </c>
    </row>
    <row r="256" spans="8:16" ht="15" x14ac:dyDescent="0.25">
      <c r="H256" s="50" t="str">
        <f t="shared" si="26"/>
        <v xml:space="preserve"> </v>
      </c>
      <c r="I256" s="50"/>
      <c r="J256" s="51" t="str">
        <f t="shared" si="21"/>
        <v/>
      </c>
      <c r="K256" s="51" t="str">
        <f t="shared" si="22"/>
        <v/>
      </c>
      <c r="L256" s="106" t="str">
        <f t="shared" si="27"/>
        <v xml:space="preserve"> </v>
      </c>
      <c r="M256" s="106" t="str">
        <f t="shared" si="23"/>
        <v xml:space="preserve"> </v>
      </c>
      <c r="N256" s="51" t="str">
        <f t="shared" si="24"/>
        <v xml:space="preserve"> </v>
      </c>
      <c r="O256" s="51"/>
      <c r="P256" s="51" t="str">
        <f t="shared" si="25"/>
        <v xml:space="preserve"> </v>
      </c>
    </row>
    <row r="257" spans="8:16" ht="15" x14ac:dyDescent="0.25">
      <c r="H257" s="50" t="str">
        <f t="shared" si="26"/>
        <v xml:space="preserve"> </v>
      </c>
      <c r="I257" s="50"/>
      <c r="J257" s="51" t="str">
        <f t="shared" si="21"/>
        <v/>
      </c>
      <c r="K257" s="51" t="str">
        <f t="shared" si="22"/>
        <v/>
      </c>
      <c r="L257" s="106" t="str">
        <f t="shared" si="27"/>
        <v xml:space="preserve"> </v>
      </c>
      <c r="M257" s="106" t="str">
        <f t="shared" si="23"/>
        <v xml:space="preserve"> </v>
      </c>
      <c r="N257" s="51" t="str">
        <f t="shared" si="24"/>
        <v xml:space="preserve"> </v>
      </c>
      <c r="O257" s="51"/>
      <c r="P257" s="51" t="str">
        <f t="shared" si="25"/>
        <v xml:space="preserve"> </v>
      </c>
    </row>
    <row r="258" spans="8:16" ht="15" x14ac:dyDescent="0.25">
      <c r="H258" s="50" t="str">
        <f t="shared" si="26"/>
        <v xml:space="preserve"> </v>
      </c>
      <c r="I258" s="50"/>
      <c r="J258" s="51" t="str">
        <f t="shared" si="21"/>
        <v/>
      </c>
      <c r="K258" s="51" t="str">
        <f t="shared" si="22"/>
        <v/>
      </c>
      <c r="L258" s="106" t="str">
        <f t="shared" si="27"/>
        <v xml:space="preserve"> </v>
      </c>
      <c r="M258" s="106" t="str">
        <f t="shared" si="23"/>
        <v xml:space="preserve"> </v>
      </c>
      <c r="N258" s="51" t="str">
        <f t="shared" si="24"/>
        <v xml:space="preserve"> </v>
      </c>
      <c r="O258" s="51"/>
      <c r="P258" s="51" t="str">
        <f t="shared" si="25"/>
        <v xml:space="preserve"> </v>
      </c>
    </row>
    <row r="259" spans="8:16" ht="15" x14ac:dyDescent="0.25">
      <c r="H259" s="50" t="str">
        <f t="shared" si="26"/>
        <v xml:space="preserve"> </v>
      </c>
      <c r="I259" s="50"/>
      <c r="J259" s="51" t="str">
        <f t="shared" si="21"/>
        <v/>
      </c>
      <c r="K259" s="51" t="str">
        <f t="shared" si="22"/>
        <v/>
      </c>
      <c r="L259" s="106" t="str">
        <f t="shared" si="27"/>
        <v xml:space="preserve"> </v>
      </c>
      <c r="M259" s="106" t="str">
        <f t="shared" si="23"/>
        <v xml:space="preserve"> </v>
      </c>
      <c r="N259" s="51" t="str">
        <f t="shared" si="24"/>
        <v xml:space="preserve"> </v>
      </c>
      <c r="O259" s="51"/>
      <c r="P259" s="51" t="str">
        <f t="shared" si="25"/>
        <v xml:space="preserve"> </v>
      </c>
    </row>
    <row r="260" spans="8:16" ht="15" x14ac:dyDescent="0.25">
      <c r="H260" s="50" t="str">
        <f t="shared" si="26"/>
        <v xml:space="preserve"> </v>
      </c>
      <c r="I260" s="50"/>
      <c r="J260" s="51" t="str">
        <f t="shared" si="21"/>
        <v/>
      </c>
      <c r="K260" s="51" t="str">
        <f t="shared" si="22"/>
        <v/>
      </c>
      <c r="L260" s="106" t="str">
        <f t="shared" si="27"/>
        <v xml:space="preserve"> </v>
      </c>
      <c r="M260" s="106" t="str">
        <f t="shared" si="23"/>
        <v xml:space="preserve"> </v>
      </c>
      <c r="N260" s="51" t="str">
        <f t="shared" si="24"/>
        <v xml:space="preserve"> </v>
      </c>
      <c r="O260" s="51"/>
      <c r="P260" s="51" t="str">
        <f t="shared" si="25"/>
        <v xml:space="preserve"> </v>
      </c>
    </row>
    <row r="261" spans="8:16" ht="15" x14ac:dyDescent="0.25">
      <c r="H261" s="50" t="str">
        <f t="shared" si="26"/>
        <v xml:space="preserve"> </v>
      </c>
      <c r="I261" s="50"/>
      <c r="J261" s="51" t="str">
        <f t="shared" si="21"/>
        <v/>
      </c>
      <c r="K261" s="51" t="str">
        <f t="shared" si="22"/>
        <v/>
      </c>
      <c r="L261" s="106" t="str">
        <f t="shared" si="27"/>
        <v xml:space="preserve"> </v>
      </c>
      <c r="M261" s="106" t="str">
        <f t="shared" si="23"/>
        <v xml:space="preserve"> </v>
      </c>
      <c r="N261" s="51" t="str">
        <f t="shared" si="24"/>
        <v xml:space="preserve"> </v>
      </c>
      <c r="O261" s="51"/>
      <c r="P261" s="51" t="str">
        <f t="shared" si="25"/>
        <v xml:space="preserve"> </v>
      </c>
    </row>
    <row r="262" spans="8:16" ht="15" x14ac:dyDescent="0.25">
      <c r="H262" s="50" t="str">
        <f t="shared" si="26"/>
        <v xml:space="preserve"> </v>
      </c>
      <c r="I262" s="50"/>
      <c r="J262" s="51" t="str">
        <f t="shared" si="21"/>
        <v/>
      </c>
      <c r="K262" s="51" t="str">
        <f t="shared" si="22"/>
        <v/>
      </c>
      <c r="L262" s="106" t="str">
        <f t="shared" si="27"/>
        <v xml:space="preserve"> </v>
      </c>
      <c r="M262" s="106" t="str">
        <f t="shared" si="23"/>
        <v xml:space="preserve"> </v>
      </c>
      <c r="N262" s="51" t="str">
        <f t="shared" si="24"/>
        <v xml:space="preserve"> </v>
      </c>
      <c r="O262" s="51"/>
      <c r="P262" s="51" t="str">
        <f t="shared" si="25"/>
        <v xml:space="preserve"> </v>
      </c>
    </row>
    <row r="263" spans="8:16" ht="15" x14ac:dyDescent="0.25">
      <c r="H263" s="50" t="str">
        <f t="shared" si="26"/>
        <v xml:space="preserve"> </v>
      </c>
      <c r="I263" s="50"/>
      <c r="J263" s="51" t="str">
        <f t="shared" si="21"/>
        <v/>
      </c>
      <c r="K263" s="51" t="str">
        <f t="shared" si="22"/>
        <v/>
      </c>
      <c r="L263" s="106" t="str">
        <f t="shared" si="27"/>
        <v xml:space="preserve"> </v>
      </c>
      <c r="M263" s="106" t="str">
        <f t="shared" si="23"/>
        <v xml:space="preserve"> </v>
      </c>
      <c r="N263" s="51" t="str">
        <f t="shared" si="24"/>
        <v xml:space="preserve"> </v>
      </c>
      <c r="O263" s="51"/>
      <c r="P263" s="51" t="str">
        <f t="shared" si="25"/>
        <v xml:space="preserve"> </v>
      </c>
    </row>
    <row r="264" spans="8:16" ht="15" x14ac:dyDescent="0.25">
      <c r="H264" s="50" t="str">
        <f t="shared" si="26"/>
        <v xml:space="preserve"> </v>
      </c>
      <c r="I264" s="50"/>
      <c r="J264" s="51" t="str">
        <f t="shared" si="21"/>
        <v/>
      </c>
      <c r="K264" s="51" t="str">
        <f t="shared" si="22"/>
        <v/>
      </c>
      <c r="L264" s="106" t="str">
        <f t="shared" si="27"/>
        <v xml:space="preserve"> </v>
      </c>
      <c r="M264" s="106" t="str">
        <f t="shared" si="23"/>
        <v xml:space="preserve"> </v>
      </c>
      <c r="N264" s="51" t="str">
        <f t="shared" si="24"/>
        <v xml:space="preserve"> </v>
      </c>
      <c r="O264" s="51"/>
      <c r="P264" s="51" t="str">
        <f t="shared" si="25"/>
        <v xml:space="preserve"> </v>
      </c>
    </row>
    <row r="265" spans="8:16" ht="15" x14ac:dyDescent="0.25">
      <c r="H265" s="50" t="str">
        <f t="shared" si="26"/>
        <v xml:space="preserve"> </v>
      </c>
      <c r="I265" s="50"/>
      <c r="J265" s="51" t="str">
        <f t="shared" si="21"/>
        <v/>
      </c>
      <c r="K265" s="51" t="str">
        <f t="shared" si="22"/>
        <v/>
      </c>
      <c r="L265" s="106" t="str">
        <f t="shared" si="27"/>
        <v xml:space="preserve"> </v>
      </c>
      <c r="M265" s="106" t="str">
        <f t="shared" si="23"/>
        <v xml:space="preserve"> </v>
      </c>
      <c r="N265" s="51" t="str">
        <f t="shared" si="24"/>
        <v xml:space="preserve"> </v>
      </c>
      <c r="O265" s="51"/>
      <c r="P265" s="51" t="str">
        <f t="shared" si="25"/>
        <v xml:space="preserve"> </v>
      </c>
    </row>
    <row r="266" spans="8:16" ht="15" x14ac:dyDescent="0.25">
      <c r="H266" s="50" t="str">
        <f t="shared" si="26"/>
        <v xml:space="preserve"> </v>
      </c>
      <c r="I266" s="50"/>
      <c r="J266" s="51" t="str">
        <f t="shared" si="21"/>
        <v/>
      </c>
      <c r="K266" s="51" t="str">
        <f t="shared" si="22"/>
        <v/>
      </c>
      <c r="L266" s="106" t="str">
        <f t="shared" si="27"/>
        <v xml:space="preserve"> </v>
      </c>
      <c r="M266" s="106" t="str">
        <f t="shared" si="23"/>
        <v xml:space="preserve"> </v>
      </c>
      <c r="N266" s="51" t="str">
        <f t="shared" si="24"/>
        <v xml:space="preserve"> </v>
      </c>
      <c r="O266" s="51"/>
      <c r="P266" s="51" t="str">
        <f t="shared" si="25"/>
        <v xml:space="preserve"> </v>
      </c>
    </row>
    <row r="267" spans="8:16" ht="15" x14ac:dyDescent="0.25">
      <c r="H267" s="50" t="str">
        <f t="shared" si="26"/>
        <v xml:space="preserve"> </v>
      </c>
      <c r="I267" s="50"/>
      <c r="J267" s="51" t="str">
        <f t="shared" si="21"/>
        <v/>
      </c>
      <c r="K267" s="51" t="str">
        <f t="shared" si="22"/>
        <v/>
      </c>
      <c r="L267" s="106" t="str">
        <f t="shared" si="27"/>
        <v xml:space="preserve"> </v>
      </c>
      <c r="M267" s="106" t="str">
        <f t="shared" si="23"/>
        <v xml:space="preserve"> </v>
      </c>
      <c r="N267" s="51" t="str">
        <f t="shared" si="24"/>
        <v xml:space="preserve"> </v>
      </c>
      <c r="O267" s="51"/>
      <c r="P267" s="51" t="str">
        <f t="shared" si="25"/>
        <v xml:space="preserve"> </v>
      </c>
    </row>
    <row r="268" spans="8:16" ht="15" x14ac:dyDescent="0.25">
      <c r="H268" s="50" t="str">
        <f t="shared" si="26"/>
        <v xml:space="preserve"> </v>
      </c>
      <c r="I268" s="50"/>
      <c r="J268" s="51" t="str">
        <f t="shared" si="21"/>
        <v/>
      </c>
      <c r="K268" s="51" t="str">
        <f t="shared" si="22"/>
        <v/>
      </c>
      <c r="L268" s="106" t="str">
        <f t="shared" si="27"/>
        <v xml:space="preserve"> </v>
      </c>
      <c r="M268" s="106" t="str">
        <f t="shared" si="23"/>
        <v xml:space="preserve"> </v>
      </c>
      <c r="N268" s="51" t="str">
        <f t="shared" si="24"/>
        <v xml:space="preserve"> </v>
      </c>
      <c r="O268" s="51"/>
      <c r="P268" s="51" t="str">
        <f t="shared" si="25"/>
        <v xml:space="preserve"> </v>
      </c>
    </row>
    <row r="269" spans="8:16" ht="15" x14ac:dyDescent="0.25">
      <c r="H269" s="50" t="str">
        <f t="shared" si="26"/>
        <v xml:space="preserve"> </v>
      </c>
      <c r="I269" s="50"/>
      <c r="J269" s="51" t="str">
        <f t="shared" si="21"/>
        <v/>
      </c>
      <c r="K269" s="51" t="str">
        <f t="shared" si="22"/>
        <v/>
      </c>
      <c r="L269" s="106" t="str">
        <f t="shared" si="27"/>
        <v xml:space="preserve"> </v>
      </c>
      <c r="M269" s="106" t="str">
        <f t="shared" si="23"/>
        <v xml:space="preserve"> </v>
      </c>
      <c r="N269" s="51" t="str">
        <f t="shared" si="24"/>
        <v xml:space="preserve"> </v>
      </c>
      <c r="O269" s="51"/>
      <c r="P269" s="51" t="str">
        <f t="shared" si="25"/>
        <v xml:space="preserve"> </v>
      </c>
    </row>
    <row r="270" spans="8:16" ht="15" x14ac:dyDescent="0.25">
      <c r="H270" s="50" t="str">
        <f t="shared" si="26"/>
        <v xml:space="preserve"> </v>
      </c>
      <c r="I270" s="50"/>
      <c r="J270" s="51" t="str">
        <f t="shared" si="21"/>
        <v/>
      </c>
      <c r="K270" s="51" t="str">
        <f t="shared" si="22"/>
        <v/>
      </c>
      <c r="L270" s="106" t="str">
        <f t="shared" si="27"/>
        <v xml:space="preserve"> </v>
      </c>
      <c r="M270" s="106" t="str">
        <f t="shared" si="23"/>
        <v xml:space="preserve"> </v>
      </c>
      <c r="N270" s="51" t="str">
        <f t="shared" si="24"/>
        <v xml:space="preserve"> </v>
      </c>
      <c r="O270" s="51"/>
      <c r="P270" s="51" t="str">
        <f t="shared" si="25"/>
        <v xml:space="preserve"> </v>
      </c>
    </row>
    <row r="271" spans="8:16" ht="15" x14ac:dyDescent="0.25">
      <c r="H271" s="50" t="str">
        <f t="shared" si="26"/>
        <v xml:space="preserve"> </v>
      </c>
      <c r="I271" s="50"/>
      <c r="J271" s="51" t="str">
        <f t="shared" si="21"/>
        <v/>
      </c>
      <c r="K271" s="51" t="str">
        <f t="shared" si="22"/>
        <v/>
      </c>
      <c r="L271" s="106" t="str">
        <f t="shared" si="27"/>
        <v xml:space="preserve"> </v>
      </c>
      <c r="M271" s="106" t="str">
        <f t="shared" si="23"/>
        <v xml:space="preserve"> </v>
      </c>
      <c r="N271" s="51" t="str">
        <f t="shared" si="24"/>
        <v xml:space="preserve"> </v>
      </c>
      <c r="O271" s="51"/>
      <c r="P271" s="51" t="str">
        <f t="shared" si="25"/>
        <v xml:space="preserve"> </v>
      </c>
    </row>
    <row r="272" spans="8:16" ht="15" x14ac:dyDescent="0.25">
      <c r="H272" s="50" t="str">
        <f t="shared" si="26"/>
        <v xml:space="preserve"> </v>
      </c>
      <c r="I272" s="50"/>
      <c r="J272" s="51" t="str">
        <f t="shared" si="21"/>
        <v/>
      </c>
      <c r="K272" s="51" t="str">
        <f t="shared" si="22"/>
        <v/>
      </c>
      <c r="L272" s="106" t="str">
        <f t="shared" si="27"/>
        <v xml:space="preserve"> </v>
      </c>
      <c r="M272" s="106" t="str">
        <f t="shared" si="23"/>
        <v xml:space="preserve"> </v>
      </c>
      <c r="N272" s="51" t="str">
        <f t="shared" si="24"/>
        <v xml:space="preserve"> </v>
      </c>
      <c r="O272" s="51"/>
      <c r="P272" s="51" t="str">
        <f t="shared" si="25"/>
        <v xml:space="preserve"> </v>
      </c>
    </row>
    <row r="273" spans="8:16" ht="15" x14ac:dyDescent="0.25">
      <c r="H273" s="50" t="str">
        <f t="shared" si="26"/>
        <v xml:space="preserve"> </v>
      </c>
      <c r="I273" s="50"/>
      <c r="J273" s="51" t="str">
        <f t="shared" si="21"/>
        <v/>
      </c>
      <c r="K273" s="51" t="str">
        <f t="shared" si="22"/>
        <v/>
      </c>
      <c r="L273" s="106" t="str">
        <f t="shared" si="27"/>
        <v xml:space="preserve"> </v>
      </c>
      <c r="M273" s="106" t="str">
        <f t="shared" si="23"/>
        <v xml:space="preserve"> </v>
      </c>
      <c r="N273" s="51" t="str">
        <f t="shared" si="24"/>
        <v xml:space="preserve"> </v>
      </c>
      <c r="O273" s="51"/>
      <c r="P273" s="51" t="str">
        <f t="shared" si="25"/>
        <v xml:space="preserve"> </v>
      </c>
    </row>
    <row r="274" spans="8:16" ht="15" x14ac:dyDescent="0.25">
      <c r="H274" s="50" t="str">
        <f t="shared" si="26"/>
        <v xml:space="preserve"> </v>
      </c>
      <c r="I274" s="50"/>
      <c r="J274" s="51" t="str">
        <f t="shared" si="21"/>
        <v/>
      </c>
      <c r="K274" s="51" t="str">
        <f t="shared" si="22"/>
        <v/>
      </c>
      <c r="L274" s="106" t="str">
        <f t="shared" si="27"/>
        <v xml:space="preserve"> </v>
      </c>
      <c r="M274" s="106" t="str">
        <f t="shared" si="23"/>
        <v xml:space="preserve"> </v>
      </c>
      <c r="N274" s="51" t="str">
        <f t="shared" si="24"/>
        <v xml:space="preserve"> </v>
      </c>
      <c r="O274" s="51"/>
      <c r="P274" s="51" t="str">
        <f t="shared" si="25"/>
        <v xml:space="preserve"> </v>
      </c>
    </row>
    <row r="275" spans="8:16" ht="15" x14ac:dyDescent="0.25">
      <c r="H275" s="50" t="str">
        <f t="shared" si="26"/>
        <v xml:space="preserve"> </v>
      </c>
      <c r="I275" s="50"/>
      <c r="J275" s="51" t="str">
        <f t="shared" ref="J275:J317" si="28">IF(H275&lt;&gt;$D$33,"",IF($D$23="Quincenal",$I$17*(1+$D$35*30/360)^($D$33/2),IF($D$23="Mensual",$I$17*(1+$D$35*30/360)^$D$33,IF($D$23="Bimensual",$I$17*(1+$D$35*30/360)^($D$33*2),IF($D$23="Trimestral",$I$17*(1+$D$35*30/360)^($D$33*3),IF($D$23="Cuatrimestral",$I$17*(1+$D$35*30/360)^($D$33*4),IF($D$23="Semestral",$I$17*(1+$D$35*30/360)^($D$33*6),IF($D$23="Anual",$I$17*(1+$D$35*30/360)^($D$33*12)))))))))</f>
        <v/>
      </c>
      <c r="K275" s="51" t="str">
        <f t="shared" ref="K275:K317" si="29">IF(H274&lt;=$U$17,IF(credito="Francesa",IF(H275&lt;=$U$17,$K274,0),IF(credito="Alemana",IF(H275&lt;=$U$17,L275+M275,0))),"")</f>
        <v/>
      </c>
      <c r="L275" s="106" t="str">
        <f t="shared" si="27"/>
        <v xml:space="preserve"> </v>
      </c>
      <c r="M275" s="106" t="str">
        <f t="shared" ref="M275:M317" si="30">IF(H275&lt;=$U$17,IF(credito="Francesa",K275-L275,IF(credito="Alemana",IF(H275&lt;=$U$17,$M274,0)))," ")</f>
        <v xml:space="preserve"> </v>
      </c>
      <c r="N275" s="51" t="str">
        <f t="shared" ref="N275:N317" si="31">IF(H275&lt;=$U$17,N274-M275," ")</f>
        <v xml:space="preserve"> </v>
      </c>
      <c r="O275" s="51"/>
      <c r="P275" s="51" t="str">
        <f t="shared" ref="P275:P317" si="32">IFERROR(SUM(IF(H275&lt;=$U$17,-K275," "),J275)," ")</f>
        <v xml:space="preserve"> </v>
      </c>
    </row>
    <row r="276" spans="8:16" ht="15" x14ac:dyDescent="0.25">
      <c r="H276" s="50" t="str">
        <f t="shared" ref="H276:H317" si="33">IF($H275&gt;=$U$17," ",H275+1)</f>
        <v xml:space="preserve"> </v>
      </c>
      <c r="I276" s="50"/>
      <c r="J276" s="51" t="str">
        <f t="shared" si="28"/>
        <v/>
      </c>
      <c r="K276" s="51" t="str">
        <f t="shared" si="29"/>
        <v/>
      </c>
      <c r="L276" s="106" t="str">
        <f t="shared" ref="L276:L317" si="34">IF(H276&lt;=$U$17,N275*$D$28/$D$24," ")</f>
        <v xml:space="preserve"> </v>
      </c>
      <c r="M276" s="106" t="str">
        <f t="shared" si="30"/>
        <v xml:space="preserve"> </v>
      </c>
      <c r="N276" s="51" t="str">
        <f t="shared" si="31"/>
        <v xml:space="preserve"> </v>
      </c>
      <c r="O276" s="51"/>
      <c r="P276" s="51" t="str">
        <f t="shared" si="32"/>
        <v xml:space="preserve"> </v>
      </c>
    </row>
    <row r="277" spans="8:16" ht="15" x14ac:dyDescent="0.25">
      <c r="H277" s="50" t="str">
        <f t="shared" si="33"/>
        <v xml:space="preserve"> </v>
      </c>
      <c r="I277" s="50"/>
      <c r="J277" s="51" t="str">
        <f t="shared" si="28"/>
        <v/>
      </c>
      <c r="K277" s="51" t="str">
        <f t="shared" si="29"/>
        <v/>
      </c>
      <c r="L277" s="106" t="str">
        <f t="shared" si="34"/>
        <v xml:space="preserve"> </v>
      </c>
      <c r="M277" s="106" t="str">
        <f t="shared" si="30"/>
        <v xml:space="preserve"> </v>
      </c>
      <c r="N277" s="51" t="str">
        <f t="shared" si="31"/>
        <v xml:space="preserve"> </v>
      </c>
      <c r="O277" s="51"/>
      <c r="P277" s="51" t="str">
        <f t="shared" si="32"/>
        <v xml:space="preserve"> </v>
      </c>
    </row>
    <row r="278" spans="8:16" ht="15" x14ac:dyDescent="0.25">
      <c r="H278" s="50" t="str">
        <f t="shared" si="33"/>
        <v xml:space="preserve"> </v>
      </c>
      <c r="I278" s="50"/>
      <c r="J278" s="51" t="str">
        <f t="shared" si="28"/>
        <v/>
      </c>
      <c r="K278" s="51" t="str">
        <f t="shared" si="29"/>
        <v/>
      </c>
      <c r="L278" s="106" t="str">
        <f t="shared" si="34"/>
        <v xml:space="preserve"> </v>
      </c>
      <c r="M278" s="106" t="str">
        <f t="shared" si="30"/>
        <v xml:space="preserve"> </v>
      </c>
      <c r="N278" s="51" t="str">
        <f t="shared" si="31"/>
        <v xml:space="preserve"> </v>
      </c>
      <c r="O278" s="51"/>
      <c r="P278" s="51" t="str">
        <f t="shared" si="32"/>
        <v xml:space="preserve"> </v>
      </c>
    </row>
    <row r="279" spans="8:16" ht="15" x14ac:dyDescent="0.25">
      <c r="H279" s="50" t="str">
        <f t="shared" si="33"/>
        <v xml:space="preserve"> </v>
      </c>
      <c r="I279" s="50"/>
      <c r="J279" s="51" t="str">
        <f t="shared" si="28"/>
        <v/>
      </c>
      <c r="K279" s="51" t="str">
        <f t="shared" si="29"/>
        <v/>
      </c>
      <c r="L279" s="106" t="str">
        <f t="shared" si="34"/>
        <v xml:space="preserve"> </v>
      </c>
      <c r="M279" s="106" t="str">
        <f t="shared" si="30"/>
        <v xml:space="preserve"> </v>
      </c>
      <c r="N279" s="51" t="str">
        <f t="shared" si="31"/>
        <v xml:space="preserve"> </v>
      </c>
      <c r="O279" s="51"/>
      <c r="P279" s="51" t="str">
        <f t="shared" si="32"/>
        <v xml:space="preserve"> </v>
      </c>
    </row>
    <row r="280" spans="8:16" ht="15" x14ac:dyDescent="0.25">
      <c r="H280" s="50" t="str">
        <f t="shared" si="33"/>
        <v xml:space="preserve"> </v>
      </c>
      <c r="I280" s="50"/>
      <c r="J280" s="51" t="str">
        <f t="shared" si="28"/>
        <v/>
      </c>
      <c r="K280" s="51" t="str">
        <f t="shared" si="29"/>
        <v/>
      </c>
      <c r="L280" s="106" t="str">
        <f t="shared" si="34"/>
        <v xml:space="preserve"> </v>
      </c>
      <c r="M280" s="106" t="str">
        <f t="shared" si="30"/>
        <v xml:space="preserve"> </v>
      </c>
      <c r="N280" s="51" t="str">
        <f t="shared" si="31"/>
        <v xml:space="preserve"> </v>
      </c>
      <c r="O280" s="51"/>
      <c r="P280" s="51" t="str">
        <f t="shared" si="32"/>
        <v xml:space="preserve"> </v>
      </c>
    </row>
    <row r="281" spans="8:16" ht="15" x14ac:dyDescent="0.25">
      <c r="H281" s="50" t="str">
        <f t="shared" si="33"/>
        <v xml:space="preserve"> </v>
      </c>
      <c r="I281" s="50"/>
      <c r="J281" s="51" t="str">
        <f t="shared" si="28"/>
        <v/>
      </c>
      <c r="K281" s="51" t="str">
        <f t="shared" si="29"/>
        <v/>
      </c>
      <c r="L281" s="106" t="str">
        <f t="shared" si="34"/>
        <v xml:space="preserve"> </v>
      </c>
      <c r="M281" s="106" t="str">
        <f t="shared" si="30"/>
        <v xml:space="preserve"> </v>
      </c>
      <c r="N281" s="51" t="str">
        <f t="shared" si="31"/>
        <v xml:space="preserve"> </v>
      </c>
      <c r="O281" s="51"/>
      <c r="P281" s="51" t="str">
        <f t="shared" si="32"/>
        <v xml:space="preserve"> </v>
      </c>
    </row>
    <row r="282" spans="8:16" ht="15" x14ac:dyDescent="0.25">
      <c r="H282" s="50" t="str">
        <f t="shared" si="33"/>
        <v xml:space="preserve"> </v>
      </c>
      <c r="I282" s="50"/>
      <c r="J282" s="51" t="str">
        <f t="shared" si="28"/>
        <v/>
      </c>
      <c r="K282" s="51" t="str">
        <f t="shared" si="29"/>
        <v/>
      </c>
      <c r="L282" s="106" t="str">
        <f t="shared" si="34"/>
        <v xml:space="preserve"> </v>
      </c>
      <c r="M282" s="106" t="str">
        <f t="shared" si="30"/>
        <v xml:space="preserve"> </v>
      </c>
      <c r="N282" s="51" t="str">
        <f t="shared" si="31"/>
        <v xml:space="preserve"> </v>
      </c>
      <c r="O282" s="51"/>
      <c r="P282" s="51" t="str">
        <f t="shared" si="32"/>
        <v xml:space="preserve"> </v>
      </c>
    </row>
    <row r="283" spans="8:16" ht="15" x14ac:dyDescent="0.25">
      <c r="H283" s="50" t="str">
        <f t="shared" si="33"/>
        <v xml:space="preserve"> </v>
      </c>
      <c r="I283" s="50"/>
      <c r="J283" s="51" t="str">
        <f t="shared" si="28"/>
        <v/>
      </c>
      <c r="K283" s="51" t="str">
        <f t="shared" si="29"/>
        <v/>
      </c>
      <c r="L283" s="106" t="str">
        <f t="shared" si="34"/>
        <v xml:space="preserve"> </v>
      </c>
      <c r="M283" s="106" t="str">
        <f t="shared" si="30"/>
        <v xml:space="preserve"> </v>
      </c>
      <c r="N283" s="51" t="str">
        <f t="shared" si="31"/>
        <v xml:space="preserve"> </v>
      </c>
      <c r="O283" s="51"/>
      <c r="P283" s="51" t="str">
        <f t="shared" si="32"/>
        <v xml:space="preserve"> </v>
      </c>
    </row>
    <row r="284" spans="8:16" ht="15" x14ac:dyDescent="0.25">
      <c r="H284" s="50" t="str">
        <f t="shared" si="33"/>
        <v xml:space="preserve"> </v>
      </c>
      <c r="I284" s="50"/>
      <c r="J284" s="51" t="str">
        <f t="shared" si="28"/>
        <v/>
      </c>
      <c r="K284" s="51" t="str">
        <f t="shared" si="29"/>
        <v/>
      </c>
      <c r="L284" s="106" t="str">
        <f t="shared" si="34"/>
        <v xml:space="preserve"> </v>
      </c>
      <c r="M284" s="106" t="str">
        <f t="shared" si="30"/>
        <v xml:space="preserve"> </v>
      </c>
      <c r="N284" s="51" t="str">
        <f t="shared" si="31"/>
        <v xml:space="preserve"> </v>
      </c>
      <c r="O284" s="51"/>
      <c r="P284" s="51" t="str">
        <f t="shared" si="32"/>
        <v xml:space="preserve"> </v>
      </c>
    </row>
    <row r="285" spans="8:16" ht="15" x14ac:dyDescent="0.25">
      <c r="H285" s="50" t="str">
        <f t="shared" si="33"/>
        <v xml:space="preserve"> </v>
      </c>
      <c r="I285" s="50"/>
      <c r="J285" s="51" t="str">
        <f t="shared" si="28"/>
        <v/>
      </c>
      <c r="K285" s="51" t="str">
        <f t="shared" si="29"/>
        <v/>
      </c>
      <c r="L285" s="106" t="str">
        <f t="shared" si="34"/>
        <v xml:space="preserve"> </v>
      </c>
      <c r="M285" s="106" t="str">
        <f t="shared" si="30"/>
        <v xml:space="preserve"> </v>
      </c>
      <c r="N285" s="51" t="str">
        <f t="shared" si="31"/>
        <v xml:space="preserve"> </v>
      </c>
      <c r="O285" s="51"/>
      <c r="P285" s="51" t="str">
        <f t="shared" si="32"/>
        <v xml:space="preserve"> </v>
      </c>
    </row>
    <row r="286" spans="8:16" ht="15" x14ac:dyDescent="0.25">
      <c r="H286" s="50" t="str">
        <f t="shared" si="33"/>
        <v xml:space="preserve"> </v>
      </c>
      <c r="I286" s="50"/>
      <c r="J286" s="51" t="str">
        <f t="shared" si="28"/>
        <v/>
      </c>
      <c r="K286" s="51" t="str">
        <f t="shared" si="29"/>
        <v/>
      </c>
      <c r="L286" s="106" t="str">
        <f t="shared" si="34"/>
        <v xml:space="preserve"> </v>
      </c>
      <c r="M286" s="106" t="str">
        <f t="shared" si="30"/>
        <v xml:space="preserve"> </v>
      </c>
      <c r="N286" s="51" t="str">
        <f t="shared" si="31"/>
        <v xml:space="preserve"> </v>
      </c>
      <c r="O286" s="51"/>
      <c r="P286" s="51" t="str">
        <f t="shared" si="32"/>
        <v xml:space="preserve"> </v>
      </c>
    </row>
    <row r="287" spans="8:16" ht="15" x14ac:dyDescent="0.25">
      <c r="H287" s="50" t="str">
        <f t="shared" si="33"/>
        <v xml:space="preserve"> </v>
      </c>
      <c r="I287" s="50"/>
      <c r="J287" s="51" t="str">
        <f t="shared" si="28"/>
        <v/>
      </c>
      <c r="K287" s="51" t="str">
        <f t="shared" si="29"/>
        <v/>
      </c>
      <c r="L287" s="106" t="str">
        <f t="shared" si="34"/>
        <v xml:space="preserve"> </v>
      </c>
      <c r="M287" s="106" t="str">
        <f t="shared" si="30"/>
        <v xml:space="preserve"> </v>
      </c>
      <c r="N287" s="51" t="str">
        <f t="shared" si="31"/>
        <v xml:space="preserve"> </v>
      </c>
      <c r="O287" s="51"/>
      <c r="P287" s="51" t="str">
        <f t="shared" si="32"/>
        <v xml:space="preserve"> </v>
      </c>
    </row>
    <row r="288" spans="8:16" ht="15" x14ac:dyDescent="0.25">
      <c r="H288" s="50" t="str">
        <f t="shared" si="33"/>
        <v xml:space="preserve"> </v>
      </c>
      <c r="I288" s="50"/>
      <c r="J288" s="51" t="str">
        <f t="shared" si="28"/>
        <v/>
      </c>
      <c r="K288" s="51" t="str">
        <f t="shared" si="29"/>
        <v/>
      </c>
      <c r="L288" s="106" t="str">
        <f t="shared" si="34"/>
        <v xml:space="preserve"> </v>
      </c>
      <c r="M288" s="106" t="str">
        <f t="shared" si="30"/>
        <v xml:space="preserve"> </v>
      </c>
      <c r="N288" s="51" t="str">
        <f t="shared" si="31"/>
        <v xml:space="preserve"> </v>
      </c>
      <c r="O288" s="51"/>
      <c r="P288" s="51" t="str">
        <f t="shared" si="32"/>
        <v xml:space="preserve"> </v>
      </c>
    </row>
    <row r="289" spans="8:16" ht="15" x14ac:dyDescent="0.25">
      <c r="H289" s="50" t="str">
        <f t="shared" si="33"/>
        <v xml:space="preserve"> </v>
      </c>
      <c r="I289" s="50"/>
      <c r="J289" s="51" t="str">
        <f t="shared" si="28"/>
        <v/>
      </c>
      <c r="K289" s="51" t="str">
        <f t="shared" si="29"/>
        <v/>
      </c>
      <c r="L289" s="106" t="str">
        <f t="shared" si="34"/>
        <v xml:space="preserve"> </v>
      </c>
      <c r="M289" s="106" t="str">
        <f t="shared" si="30"/>
        <v xml:space="preserve"> </v>
      </c>
      <c r="N289" s="51" t="str">
        <f t="shared" si="31"/>
        <v xml:space="preserve"> </v>
      </c>
      <c r="O289" s="51"/>
      <c r="P289" s="51" t="str">
        <f t="shared" si="32"/>
        <v xml:space="preserve"> </v>
      </c>
    </row>
    <row r="290" spans="8:16" ht="15" x14ac:dyDescent="0.25">
      <c r="H290" s="50" t="str">
        <f t="shared" si="33"/>
        <v xml:space="preserve"> </v>
      </c>
      <c r="I290" s="50"/>
      <c r="J290" s="51" t="str">
        <f t="shared" si="28"/>
        <v/>
      </c>
      <c r="K290" s="51" t="str">
        <f t="shared" si="29"/>
        <v/>
      </c>
      <c r="L290" s="106" t="str">
        <f t="shared" si="34"/>
        <v xml:space="preserve"> </v>
      </c>
      <c r="M290" s="106" t="str">
        <f t="shared" si="30"/>
        <v xml:space="preserve"> </v>
      </c>
      <c r="N290" s="51" t="str">
        <f t="shared" si="31"/>
        <v xml:space="preserve"> </v>
      </c>
      <c r="O290" s="51"/>
      <c r="P290" s="51" t="str">
        <f t="shared" si="32"/>
        <v xml:space="preserve"> </v>
      </c>
    </row>
    <row r="291" spans="8:16" ht="15" x14ac:dyDescent="0.25">
      <c r="H291" s="50" t="str">
        <f t="shared" si="33"/>
        <v xml:space="preserve"> </v>
      </c>
      <c r="I291" s="50"/>
      <c r="J291" s="51" t="str">
        <f t="shared" si="28"/>
        <v/>
      </c>
      <c r="K291" s="51" t="str">
        <f t="shared" si="29"/>
        <v/>
      </c>
      <c r="L291" s="106" t="str">
        <f t="shared" si="34"/>
        <v xml:space="preserve"> </v>
      </c>
      <c r="M291" s="106" t="str">
        <f t="shared" si="30"/>
        <v xml:space="preserve"> </v>
      </c>
      <c r="N291" s="51" t="str">
        <f t="shared" si="31"/>
        <v xml:space="preserve"> </v>
      </c>
      <c r="O291" s="51"/>
      <c r="P291" s="51" t="str">
        <f t="shared" si="32"/>
        <v xml:space="preserve"> </v>
      </c>
    </row>
    <row r="292" spans="8:16" ht="15" x14ac:dyDescent="0.25">
      <c r="H292" s="50" t="str">
        <f t="shared" si="33"/>
        <v xml:space="preserve"> </v>
      </c>
      <c r="I292" s="50"/>
      <c r="J292" s="51" t="str">
        <f t="shared" si="28"/>
        <v/>
      </c>
      <c r="K292" s="51" t="str">
        <f t="shared" si="29"/>
        <v/>
      </c>
      <c r="L292" s="106" t="str">
        <f t="shared" si="34"/>
        <v xml:space="preserve"> </v>
      </c>
      <c r="M292" s="106" t="str">
        <f t="shared" si="30"/>
        <v xml:space="preserve"> </v>
      </c>
      <c r="N292" s="51" t="str">
        <f t="shared" si="31"/>
        <v xml:space="preserve"> </v>
      </c>
      <c r="O292" s="51"/>
      <c r="P292" s="51" t="str">
        <f t="shared" si="32"/>
        <v xml:space="preserve"> </v>
      </c>
    </row>
    <row r="293" spans="8:16" ht="15" x14ac:dyDescent="0.25">
      <c r="H293" s="50" t="str">
        <f t="shared" si="33"/>
        <v xml:space="preserve"> </v>
      </c>
      <c r="I293" s="50"/>
      <c r="J293" s="51" t="str">
        <f t="shared" si="28"/>
        <v/>
      </c>
      <c r="K293" s="51" t="str">
        <f t="shared" si="29"/>
        <v/>
      </c>
      <c r="L293" s="106" t="str">
        <f t="shared" si="34"/>
        <v xml:space="preserve"> </v>
      </c>
      <c r="M293" s="106" t="str">
        <f t="shared" si="30"/>
        <v xml:space="preserve"> </v>
      </c>
      <c r="N293" s="51" t="str">
        <f t="shared" si="31"/>
        <v xml:space="preserve"> </v>
      </c>
      <c r="O293" s="51"/>
      <c r="P293" s="51" t="str">
        <f t="shared" si="32"/>
        <v xml:space="preserve"> </v>
      </c>
    </row>
    <row r="294" spans="8:16" ht="15" x14ac:dyDescent="0.25">
      <c r="H294" s="50" t="str">
        <f t="shared" si="33"/>
        <v xml:space="preserve"> </v>
      </c>
      <c r="I294" s="50"/>
      <c r="J294" s="51" t="str">
        <f t="shared" si="28"/>
        <v/>
      </c>
      <c r="K294" s="51" t="str">
        <f t="shared" si="29"/>
        <v/>
      </c>
      <c r="L294" s="106" t="str">
        <f t="shared" si="34"/>
        <v xml:space="preserve"> </v>
      </c>
      <c r="M294" s="106" t="str">
        <f t="shared" si="30"/>
        <v xml:space="preserve"> </v>
      </c>
      <c r="N294" s="51" t="str">
        <f t="shared" si="31"/>
        <v xml:space="preserve"> </v>
      </c>
      <c r="O294" s="51"/>
      <c r="P294" s="51" t="str">
        <f t="shared" si="32"/>
        <v xml:space="preserve"> </v>
      </c>
    </row>
    <row r="295" spans="8:16" ht="15" x14ac:dyDescent="0.25">
      <c r="H295" s="50" t="str">
        <f t="shared" si="33"/>
        <v xml:space="preserve"> </v>
      </c>
      <c r="I295" s="50"/>
      <c r="J295" s="51" t="str">
        <f t="shared" si="28"/>
        <v/>
      </c>
      <c r="K295" s="51" t="str">
        <f t="shared" si="29"/>
        <v/>
      </c>
      <c r="L295" s="106" t="str">
        <f t="shared" si="34"/>
        <v xml:space="preserve"> </v>
      </c>
      <c r="M295" s="106" t="str">
        <f t="shared" si="30"/>
        <v xml:space="preserve"> </v>
      </c>
      <c r="N295" s="51" t="str">
        <f t="shared" si="31"/>
        <v xml:space="preserve"> </v>
      </c>
      <c r="O295" s="51"/>
      <c r="P295" s="51" t="str">
        <f t="shared" si="32"/>
        <v xml:space="preserve"> </v>
      </c>
    </row>
    <row r="296" spans="8:16" ht="15" x14ac:dyDescent="0.25">
      <c r="H296" s="50" t="str">
        <f t="shared" si="33"/>
        <v xml:space="preserve"> </v>
      </c>
      <c r="I296" s="50"/>
      <c r="J296" s="51" t="str">
        <f t="shared" si="28"/>
        <v/>
      </c>
      <c r="K296" s="51" t="str">
        <f t="shared" si="29"/>
        <v/>
      </c>
      <c r="L296" s="106" t="str">
        <f t="shared" si="34"/>
        <v xml:space="preserve"> </v>
      </c>
      <c r="M296" s="106" t="str">
        <f t="shared" si="30"/>
        <v xml:space="preserve"> </v>
      </c>
      <c r="N296" s="51" t="str">
        <f t="shared" si="31"/>
        <v xml:space="preserve"> </v>
      </c>
      <c r="O296" s="51"/>
      <c r="P296" s="51" t="str">
        <f t="shared" si="32"/>
        <v xml:space="preserve"> </v>
      </c>
    </row>
    <row r="297" spans="8:16" ht="15" x14ac:dyDescent="0.25">
      <c r="H297" s="50" t="str">
        <f t="shared" si="33"/>
        <v xml:space="preserve"> </v>
      </c>
      <c r="I297" s="50"/>
      <c r="J297" s="51" t="str">
        <f t="shared" si="28"/>
        <v/>
      </c>
      <c r="K297" s="51" t="str">
        <f t="shared" si="29"/>
        <v/>
      </c>
      <c r="L297" s="106" t="str">
        <f t="shared" si="34"/>
        <v xml:space="preserve"> </v>
      </c>
      <c r="M297" s="106" t="str">
        <f t="shared" si="30"/>
        <v xml:space="preserve"> </v>
      </c>
      <c r="N297" s="51" t="str">
        <f t="shared" si="31"/>
        <v xml:space="preserve"> </v>
      </c>
      <c r="O297" s="51"/>
      <c r="P297" s="51" t="str">
        <f t="shared" si="32"/>
        <v xml:space="preserve"> </v>
      </c>
    </row>
    <row r="298" spans="8:16" ht="15" x14ac:dyDescent="0.25">
      <c r="H298" s="50" t="str">
        <f t="shared" si="33"/>
        <v xml:space="preserve"> </v>
      </c>
      <c r="I298" s="50"/>
      <c r="J298" s="51" t="str">
        <f t="shared" si="28"/>
        <v/>
      </c>
      <c r="K298" s="51" t="str">
        <f t="shared" si="29"/>
        <v/>
      </c>
      <c r="L298" s="106" t="str">
        <f t="shared" si="34"/>
        <v xml:space="preserve"> </v>
      </c>
      <c r="M298" s="106" t="str">
        <f t="shared" si="30"/>
        <v xml:space="preserve"> </v>
      </c>
      <c r="N298" s="51" t="str">
        <f t="shared" si="31"/>
        <v xml:space="preserve"> </v>
      </c>
      <c r="O298" s="51"/>
      <c r="P298" s="51" t="str">
        <f t="shared" si="32"/>
        <v xml:space="preserve"> </v>
      </c>
    </row>
    <row r="299" spans="8:16" ht="15" x14ac:dyDescent="0.25">
      <c r="H299" s="50" t="str">
        <f t="shared" si="33"/>
        <v xml:space="preserve"> </v>
      </c>
      <c r="I299" s="50"/>
      <c r="J299" s="51" t="str">
        <f t="shared" si="28"/>
        <v/>
      </c>
      <c r="K299" s="51" t="str">
        <f t="shared" si="29"/>
        <v/>
      </c>
      <c r="L299" s="106" t="str">
        <f t="shared" si="34"/>
        <v xml:space="preserve"> </v>
      </c>
      <c r="M299" s="106" t="str">
        <f t="shared" si="30"/>
        <v xml:space="preserve"> </v>
      </c>
      <c r="N299" s="51" t="str">
        <f t="shared" si="31"/>
        <v xml:space="preserve"> </v>
      </c>
      <c r="O299" s="51"/>
      <c r="P299" s="51" t="str">
        <f t="shared" si="32"/>
        <v xml:space="preserve"> </v>
      </c>
    </row>
    <row r="300" spans="8:16" ht="15" x14ac:dyDescent="0.25">
      <c r="H300" s="50" t="str">
        <f t="shared" si="33"/>
        <v xml:space="preserve"> </v>
      </c>
      <c r="I300" s="50"/>
      <c r="J300" s="51" t="str">
        <f t="shared" si="28"/>
        <v/>
      </c>
      <c r="K300" s="51" t="str">
        <f t="shared" si="29"/>
        <v/>
      </c>
      <c r="L300" s="106" t="str">
        <f t="shared" si="34"/>
        <v xml:space="preserve"> </v>
      </c>
      <c r="M300" s="106" t="str">
        <f t="shared" si="30"/>
        <v xml:space="preserve"> </v>
      </c>
      <c r="N300" s="51" t="str">
        <f t="shared" si="31"/>
        <v xml:space="preserve"> </v>
      </c>
      <c r="O300" s="51"/>
      <c r="P300" s="51" t="str">
        <f t="shared" si="32"/>
        <v xml:space="preserve"> </v>
      </c>
    </row>
    <row r="301" spans="8:16" ht="15" x14ac:dyDescent="0.25">
      <c r="H301" s="50" t="str">
        <f t="shared" si="33"/>
        <v xml:space="preserve"> </v>
      </c>
      <c r="I301" s="50"/>
      <c r="J301" s="51" t="str">
        <f t="shared" si="28"/>
        <v/>
      </c>
      <c r="K301" s="51" t="str">
        <f t="shared" si="29"/>
        <v/>
      </c>
      <c r="L301" s="106" t="str">
        <f t="shared" si="34"/>
        <v xml:space="preserve"> </v>
      </c>
      <c r="M301" s="106" t="str">
        <f t="shared" si="30"/>
        <v xml:space="preserve"> </v>
      </c>
      <c r="N301" s="51" t="str">
        <f t="shared" si="31"/>
        <v xml:space="preserve"> </v>
      </c>
      <c r="O301" s="51"/>
      <c r="P301" s="51" t="str">
        <f t="shared" si="32"/>
        <v xml:space="preserve"> </v>
      </c>
    </row>
    <row r="302" spans="8:16" ht="15" x14ac:dyDescent="0.25">
      <c r="H302" s="50" t="str">
        <f t="shared" si="33"/>
        <v xml:space="preserve"> </v>
      </c>
      <c r="I302" s="50"/>
      <c r="J302" s="51" t="str">
        <f t="shared" si="28"/>
        <v/>
      </c>
      <c r="K302" s="51" t="str">
        <f t="shared" si="29"/>
        <v/>
      </c>
      <c r="L302" s="106" t="str">
        <f t="shared" si="34"/>
        <v xml:space="preserve"> </v>
      </c>
      <c r="M302" s="106" t="str">
        <f t="shared" si="30"/>
        <v xml:space="preserve"> </v>
      </c>
      <c r="N302" s="51" t="str">
        <f t="shared" si="31"/>
        <v xml:space="preserve"> </v>
      </c>
      <c r="O302" s="51"/>
      <c r="P302" s="51" t="str">
        <f t="shared" si="32"/>
        <v xml:space="preserve"> </v>
      </c>
    </row>
    <row r="303" spans="8:16" ht="15" x14ac:dyDescent="0.25">
      <c r="H303" s="50" t="str">
        <f t="shared" si="33"/>
        <v xml:space="preserve"> </v>
      </c>
      <c r="I303" s="50"/>
      <c r="J303" s="51" t="str">
        <f t="shared" si="28"/>
        <v/>
      </c>
      <c r="K303" s="51" t="str">
        <f t="shared" si="29"/>
        <v/>
      </c>
      <c r="L303" s="106" t="str">
        <f t="shared" si="34"/>
        <v xml:space="preserve"> </v>
      </c>
      <c r="M303" s="106" t="str">
        <f t="shared" si="30"/>
        <v xml:space="preserve"> </v>
      </c>
      <c r="N303" s="51" t="str">
        <f t="shared" si="31"/>
        <v xml:space="preserve"> </v>
      </c>
      <c r="O303" s="51"/>
      <c r="P303" s="51" t="str">
        <f t="shared" si="32"/>
        <v xml:space="preserve"> </v>
      </c>
    </row>
    <row r="304" spans="8:16" ht="15" x14ac:dyDescent="0.25">
      <c r="H304" s="50" t="str">
        <f t="shared" si="33"/>
        <v xml:space="preserve"> </v>
      </c>
      <c r="I304" s="50"/>
      <c r="J304" s="51" t="str">
        <f t="shared" si="28"/>
        <v/>
      </c>
      <c r="K304" s="51" t="str">
        <f t="shared" si="29"/>
        <v/>
      </c>
      <c r="L304" s="106" t="str">
        <f t="shared" si="34"/>
        <v xml:space="preserve"> </v>
      </c>
      <c r="M304" s="106" t="str">
        <f t="shared" si="30"/>
        <v xml:space="preserve"> </v>
      </c>
      <c r="N304" s="51" t="str">
        <f t="shared" si="31"/>
        <v xml:space="preserve"> </v>
      </c>
      <c r="O304" s="51"/>
      <c r="P304" s="51" t="str">
        <f t="shared" si="32"/>
        <v xml:space="preserve"> </v>
      </c>
    </row>
    <row r="305" spans="8:16" ht="15" x14ac:dyDescent="0.25">
      <c r="H305" s="50" t="str">
        <f t="shared" si="33"/>
        <v xml:space="preserve"> </v>
      </c>
      <c r="I305" s="50"/>
      <c r="J305" s="51" t="str">
        <f t="shared" si="28"/>
        <v/>
      </c>
      <c r="K305" s="51" t="str">
        <f t="shared" si="29"/>
        <v/>
      </c>
      <c r="L305" s="106" t="str">
        <f t="shared" si="34"/>
        <v xml:space="preserve"> </v>
      </c>
      <c r="M305" s="106" t="str">
        <f t="shared" si="30"/>
        <v xml:space="preserve"> </v>
      </c>
      <c r="N305" s="51" t="str">
        <f t="shared" si="31"/>
        <v xml:space="preserve"> </v>
      </c>
      <c r="O305" s="51"/>
      <c r="P305" s="51" t="str">
        <f t="shared" si="32"/>
        <v xml:space="preserve"> </v>
      </c>
    </row>
    <row r="306" spans="8:16" ht="15" x14ac:dyDescent="0.25">
      <c r="H306" s="50" t="str">
        <f t="shared" si="33"/>
        <v xml:space="preserve"> </v>
      </c>
      <c r="I306" s="50"/>
      <c r="J306" s="51" t="str">
        <f t="shared" si="28"/>
        <v/>
      </c>
      <c r="K306" s="51" t="str">
        <f t="shared" si="29"/>
        <v/>
      </c>
      <c r="L306" s="106" t="str">
        <f t="shared" si="34"/>
        <v xml:space="preserve"> </v>
      </c>
      <c r="M306" s="106" t="str">
        <f t="shared" si="30"/>
        <v xml:space="preserve"> </v>
      </c>
      <c r="N306" s="51" t="str">
        <f t="shared" si="31"/>
        <v xml:space="preserve"> </v>
      </c>
      <c r="O306" s="51"/>
      <c r="P306" s="51" t="str">
        <f t="shared" si="32"/>
        <v xml:space="preserve"> </v>
      </c>
    </row>
    <row r="307" spans="8:16" ht="15" x14ac:dyDescent="0.25">
      <c r="H307" s="50" t="str">
        <f t="shared" si="33"/>
        <v xml:space="preserve"> </v>
      </c>
      <c r="I307" s="50"/>
      <c r="J307" s="51" t="str">
        <f t="shared" si="28"/>
        <v/>
      </c>
      <c r="K307" s="51" t="str">
        <f t="shared" si="29"/>
        <v/>
      </c>
      <c r="L307" s="106" t="str">
        <f t="shared" si="34"/>
        <v xml:space="preserve"> </v>
      </c>
      <c r="M307" s="106" t="str">
        <f t="shared" si="30"/>
        <v xml:space="preserve"> </v>
      </c>
      <c r="N307" s="51" t="str">
        <f t="shared" si="31"/>
        <v xml:space="preserve"> </v>
      </c>
      <c r="O307" s="51"/>
      <c r="P307" s="51" t="str">
        <f t="shared" si="32"/>
        <v xml:space="preserve"> </v>
      </c>
    </row>
    <row r="308" spans="8:16" ht="15" x14ac:dyDescent="0.25">
      <c r="H308" s="50" t="str">
        <f t="shared" si="33"/>
        <v xml:space="preserve"> </v>
      </c>
      <c r="I308" s="50"/>
      <c r="J308" s="51" t="str">
        <f t="shared" si="28"/>
        <v/>
      </c>
      <c r="K308" s="51" t="str">
        <f t="shared" si="29"/>
        <v/>
      </c>
      <c r="L308" s="106" t="str">
        <f t="shared" si="34"/>
        <v xml:space="preserve"> </v>
      </c>
      <c r="M308" s="106" t="str">
        <f t="shared" si="30"/>
        <v xml:space="preserve"> </v>
      </c>
      <c r="N308" s="51" t="str">
        <f t="shared" si="31"/>
        <v xml:space="preserve"> </v>
      </c>
      <c r="O308" s="51"/>
      <c r="P308" s="51" t="str">
        <f t="shared" si="32"/>
        <v xml:space="preserve"> </v>
      </c>
    </row>
    <row r="309" spans="8:16" ht="15" x14ac:dyDescent="0.25">
      <c r="H309" s="50" t="str">
        <f t="shared" si="33"/>
        <v xml:space="preserve"> </v>
      </c>
      <c r="I309" s="50"/>
      <c r="J309" s="51" t="str">
        <f t="shared" si="28"/>
        <v/>
      </c>
      <c r="K309" s="51" t="str">
        <f t="shared" si="29"/>
        <v/>
      </c>
      <c r="L309" s="106" t="str">
        <f t="shared" si="34"/>
        <v xml:space="preserve"> </v>
      </c>
      <c r="M309" s="106" t="str">
        <f t="shared" si="30"/>
        <v xml:space="preserve"> </v>
      </c>
      <c r="N309" s="51" t="str">
        <f t="shared" si="31"/>
        <v xml:space="preserve"> </v>
      </c>
      <c r="O309" s="51"/>
      <c r="P309" s="51" t="str">
        <f t="shared" si="32"/>
        <v xml:space="preserve"> </v>
      </c>
    </row>
    <row r="310" spans="8:16" ht="15" x14ac:dyDescent="0.25">
      <c r="H310" s="50" t="str">
        <f t="shared" si="33"/>
        <v xml:space="preserve"> </v>
      </c>
      <c r="I310" s="50"/>
      <c r="J310" s="51" t="str">
        <f t="shared" si="28"/>
        <v/>
      </c>
      <c r="K310" s="51" t="str">
        <f t="shared" si="29"/>
        <v/>
      </c>
      <c r="L310" s="106" t="str">
        <f t="shared" si="34"/>
        <v xml:space="preserve"> </v>
      </c>
      <c r="M310" s="106" t="str">
        <f t="shared" si="30"/>
        <v xml:space="preserve"> </v>
      </c>
      <c r="N310" s="51" t="str">
        <f t="shared" si="31"/>
        <v xml:space="preserve"> </v>
      </c>
      <c r="O310" s="51"/>
      <c r="P310" s="51" t="str">
        <f t="shared" si="32"/>
        <v xml:space="preserve"> </v>
      </c>
    </row>
    <row r="311" spans="8:16" ht="15" x14ac:dyDescent="0.25">
      <c r="H311" s="50" t="str">
        <f t="shared" si="33"/>
        <v xml:space="preserve"> </v>
      </c>
      <c r="I311" s="50"/>
      <c r="J311" s="51" t="str">
        <f t="shared" si="28"/>
        <v/>
      </c>
      <c r="K311" s="51" t="str">
        <f t="shared" si="29"/>
        <v/>
      </c>
      <c r="L311" s="106" t="str">
        <f t="shared" si="34"/>
        <v xml:space="preserve"> </v>
      </c>
      <c r="M311" s="106" t="str">
        <f t="shared" si="30"/>
        <v xml:space="preserve"> </v>
      </c>
      <c r="N311" s="51" t="str">
        <f t="shared" si="31"/>
        <v xml:space="preserve"> </v>
      </c>
      <c r="O311" s="51"/>
      <c r="P311" s="51" t="str">
        <f t="shared" si="32"/>
        <v xml:space="preserve"> </v>
      </c>
    </row>
    <row r="312" spans="8:16" ht="15" x14ac:dyDescent="0.25">
      <c r="H312" s="50" t="str">
        <f t="shared" si="33"/>
        <v xml:space="preserve"> </v>
      </c>
      <c r="I312" s="50"/>
      <c r="J312" s="51" t="str">
        <f t="shared" si="28"/>
        <v/>
      </c>
      <c r="K312" s="51" t="str">
        <f t="shared" si="29"/>
        <v/>
      </c>
      <c r="L312" s="106" t="str">
        <f t="shared" si="34"/>
        <v xml:space="preserve"> </v>
      </c>
      <c r="M312" s="106" t="str">
        <f t="shared" si="30"/>
        <v xml:space="preserve"> </v>
      </c>
      <c r="N312" s="51" t="str">
        <f t="shared" si="31"/>
        <v xml:space="preserve"> </v>
      </c>
      <c r="O312" s="51"/>
      <c r="P312" s="51" t="str">
        <f t="shared" si="32"/>
        <v xml:space="preserve"> </v>
      </c>
    </row>
    <row r="313" spans="8:16" ht="15" x14ac:dyDescent="0.25">
      <c r="H313" s="50" t="str">
        <f t="shared" si="33"/>
        <v xml:space="preserve"> </v>
      </c>
      <c r="I313" s="50"/>
      <c r="J313" s="51" t="str">
        <f t="shared" si="28"/>
        <v/>
      </c>
      <c r="K313" s="51" t="str">
        <f t="shared" si="29"/>
        <v/>
      </c>
      <c r="L313" s="106" t="str">
        <f t="shared" si="34"/>
        <v xml:space="preserve"> </v>
      </c>
      <c r="M313" s="106" t="str">
        <f t="shared" si="30"/>
        <v xml:space="preserve"> </v>
      </c>
      <c r="N313" s="51" t="str">
        <f t="shared" si="31"/>
        <v xml:space="preserve"> </v>
      </c>
      <c r="O313" s="51"/>
      <c r="P313" s="51" t="str">
        <f t="shared" si="32"/>
        <v xml:space="preserve"> </v>
      </c>
    </row>
    <row r="314" spans="8:16" ht="15" x14ac:dyDescent="0.25">
      <c r="H314" s="50" t="str">
        <f t="shared" si="33"/>
        <v xml:space="preserve"> </v>
      </c>
      <c r="I314" s="50"/>
      <c r="J314" s="51" t="str">
        <f t="shared" si="28"/>
        <v/>
      </c>
      <c r="K314" s="51" t="str">
        <f t="shared" si="29"/>
        <v/>
      </c>
      <c r="L314" s="106" t="str">
        <f t="shared" si="34"/>
        <v xml:space="preserve"> </v>
      </c>
      <c r="M314" s="106" t="str">
        <f t="shared" si="30"/>
        <v xml:space="preserve"> </v>
      </c>
      <c r="N314" s="51" t="str">
        <f t="shared" si="31"/>
        <v xml:space="preserve"> </v>
      </c>
      <c r="O314" s="51"/>
      <c r="P314" s="51" t="str">
        <f t="shared" si="32"/>
        <v xml:space="preserve"> </v>
      </c>
    </row>
    <row r="315" spans="8:16" ht="15" x14ac:dyDescent="0.25">
      <c r="H315" s="50" t="str">
        <f t="shared" si="33"/>
        <v xml:space="preserve"> </v>
      </c>
      <c r="I315" s="50"/>
      <c r="J315" s="51" t="str">
        <f t="shared" si="28"/>
        <v/>
      </c>
      <c r="K315" s="51" t="str">
        <f t="shared" si="29"/>
        <v/>
      </c>
      <c r="L315" s="106" t="str">
        <f t="shared" si="34"/>
        <v xml:space="preserve"> </v>
      </c>
      <c r="M315" s="106" t="str">
        <f t="shared" si="30"/>
        <v xml:space="preserve"> </v>
      </c>
      <c r="N315" s="51" t="str">
        <f t="shared" si="31"/>
        <v xml:space="preserve"> </v>
      </c>
      <c r="O315" s="51"/>
      <c r="P315" s="51" t="str">
        <f t="shared" si="32"/>
        <v xml:space="preserve"> </v>
      </c>
    </row>
    <row r="316" spans="8:16" ht="15" x14ac:dyDescent="0.25">
      <c r="H316" s="50" t="str">
        <f t="shared" si="33"/>
        <v xml:space="preserve"> </v>
      </c>
      <c r="I316" s="50"/>
      <c r="J316" s="51" t="str">
        <f t="shared" si="28"/>
        <v/>
      </c>
      <c r="K316" s="51" t="str">
        <f t="shared" si="29"/>
        <v/>
      </c>
      <c r="L316" s="106" t="str">
        <f t="shared" si="34"/>
        <v xml:space="preserve"> </v>
      </c>
      <c r="M316" s="106" t="str">
        <f t="shared" si="30"/>
        <v xml:space="preserve"> </v>
      </c>
      <c r="N316" s="51" t="str">
        <f t="shared" si="31"/>
        <v xml:space="preserve"> </v>
      </c>
      <c r="O316" s="51"/>
      <c r="P316" s="51" t="str">
        <f t="shared" si="32"/>
        <v xml:space="preserve"> </v>
      </c>
    </row>
    <row r="317" spans="8:16" ht="15" x14ac:dyDescent="0.25">
      <c r="H317" s="50" t="str">
        <f t="shared" si="33"/>
        <v xml:space="preserve"> </v>
      </c>
      <c r="I317" s="50"/>
      <c r="J317" s="51" t="str">
        <f t="shared" si="28"/>
        <v/>
      </c>
      <c r="K317" s="51" t="str">
        <f t="shared" si="29"/>
        <v/>
      </c>
      <c r="L317" s="106" t="str">
        <f t="shared" si="34"/>
        <v xml:space="preserve"> </v>
      </c>
      <c r="M317" s="106" t="str">
        <f t="shared" si="30"/>
        <v xml:space="preserve"> </v>
      </c>
      <c r="N317" s="51" t="str">
        <f t="shared" si="31"/>
        <v xml:space="preserve"> </v>
      </c>
      <c r="O317" s="51"/>
      <c r="P317" s="51" t="str">
        <f t="shared" si="32"/>
        <v xml:space="preserve"> </v>
      </c>
    </row>
    <row r="318" spans="8:16" ht="15" x14ac:dyDescent="0.25">
      <c r="H318" s="50"/>
      <c r="I318" s="50"/>
      <c r="J318" s="50"/>
      <c r="K318" s="51"/>
      <c r="L318" s="51"/>
      <c r="M318" s="51"/>
      <c r="N318" s="51"/>
      <c r="O318" s="51"/>
      <c r="P318" s="51"/>
    </row>
    <row r="319" spans="8:16" ht="15" x14ac:dyDescent="0.25">
      <c r="H319" s="50"/>
      <c r="I319" s="50"/>
      <c r="J319" s="50"/>
      <c r="K319" s="51"/>
      <c r="L319" s="51"/>
      <c r="M319" s="51"/>
      <c r="N319" s="51"/>
      <c r="O319" s="51"/>
      <c r="P319" s="51"/>
    </row>
    <row r="320" spans="8:16" ht="15" x14ac:dyDescent="0.25">
      <c r="H320" s="50"/>
      <c r="I320" s="50"/>
      <c r="J320" s="50"/>
      <c r="K320" s="51"/>
      <c r="L320" s="51"/>
      <c r="M320" s="51"/>
      <c r="N320" s="51"/>
      <c r="O320" s="51"/>
      <c r="P320" s="51"/>
    </row>
    <row r="321" spans="8:16" ht="15" x14ac:dyDescent="0.25">
      <c r="H321" s="50"/>
      <c r="I321" s="50"/>
      <c r="J321" s="50"/>
      <c r="K321" s="51"/>
      <c r="L321" s="51"/>
      <c r="M321" s="51"/>
      <c r="N321" s="51"/>
      <c r="O321" s="51"/>
      <c r="P321" s="51"/>
    </row>
    <row r="322" spans="8:16" ht="15" x14ac:dyDescent="0.25">
      <c r="H322" s="50"/>
      <c r="I322" s="50"/>
      <c r="J322" s="50"/>
      <c r="K322" s="51"/>
      <c r="L322" s="51"/>
      <c r="M322" s="51"/>
      <c r="N322" s="51"/>
      <c r="O322" s="51"/>
      <c r="P322" s="51"/>
    </row>
    <row r="323" spans="8:16" ht="15" x14ac:dyDescent="0.25">
      <c r="H323" s="50"/>
      <c r="I323" s="50"/>
      <c r="J323" s="50"/>
      <c r="K323" s="51"/>
      <c r="L323" s="51"/>
      <c r="M323" s="51"/>
      <c r="N323" s="51"/>
      <c r="O323" s="51"/>
      <c r="P323" s="51"/>
    </row>
    <row r="324" spans="8:16" ht="15" x14ac:dyDescent="0.25">
      <c r="H324" s="50"/>
      <c r="I324" s="50"/>
      <c r="J324" s="50"/>
      <c r="K324" s="51"/>
      <c r="L324" s="51"/>
      <c r="M324" s="51"/>
      <c r="N324" s="51"/>
      <c r="O324" s="51"/>
      <c r="P324" s="51"/>
    </row>
    <row r="325" spans="8:16" ht="15" x14ac:dyDescent="0.25">
      <c r="H325" s="50"/>
      <c r="I325" s="50"/>
      <c r="J325" s="50"/>
      <c r="K325" s="51"/>
      <c r="L325" s="51"/>
      <c r="M325" s="51"/>
      <c r="N325" s="51"/>
      <c r="O325" s="51"/>
      <c r="P325" s="51"/>
    </row>
    <row r="326" spans="8:16" ht="15" x14ac:dyDescent="0.25">
      <c r="H326" s="50"/>
      <c r="I326" s="50"/>
      <c r="J326" s="50"/>
      <c r="K326" s="51"/>
      <c r="L326" s="51"/>
      <c r="M326" s="51"/>
      <c r="N326" s="51"/>
      <c r="O326" s="51"/>
      <c r="P326" s="51"/>
    </row>
    <row r="327" spans="8:16" ht="15" x14ac:dyDescent="0.25">
      <c r="H327" s="50"/>
      <c r="I327" s="50"/>
      <c r="J327" s="50"/>
      <c r="K327" s="51"/>
      <c r="L327" s="51"/>
      <c r="M327" s="51"/>
      <c r="N327" s="51"/>
      <c r="O327" s="51"/>
      <c r="P327" s="51"/>
    </row>
    <row r="328" spans="8:16" ht="15" x14ac:dyDescent="0.25">
      <c r="H328" s="50"/>
      <c r="I328" s="50"/>
      <c r="J328" s="50"/>
      <c r="K328" s="51"/>
      <c r="L328" s="51"/>
      <c r="M328" s="51"/>
      <c r="N328" s="51"/>
      <c r="O328" s="51"/>
      <c r="P328" s="51"/>
    </row>
    <row r="329" spans="8:16" ht="15" x14ac:dyDescent="0.25">
      <c r="H329" s="50"/>
      <c r="I329" s="50"/>
      <c r="J329" s="50"/>
      <c r="K329" s="51"/>
      <c r="L329" s="51"/>
      <c r="M329" s="51"/>
      <c r="N329" s="51"/>
      <c r="O329" s="51"/>
      <c r="P329" s="51"/>
    </row>
    <row r="330" spans="8:16" ht="15" x14ac:dyDescent="0.25">
      <c r="H330" s="50"/>
      <c r="I330" s="50"/>
      <c r="J330" s="50"/>
      <c r="K330" s="51"/>
      <c r="L330" s="51"/>
      <c r="M330" s="51"/>
      <c r="N330" s="51"/>
      <c r="O330" s="51"/>
      <c r="P330" s="51"/>
    </row>
    <row r="331" spans="8:16" ht="15" x14ac:dyDescent="0.25">
      <c r="H331" s="50"/>
      <c r="I331" s="50"/>
      <c r="J331" s="50"/>
      <c r="K331" s="51"/>
      <c r="L331" s="51"/>
      <c r="M331" s="51"/>
      <c r="N331" s="51"/>
      <c r="O331" s="51"/>
      <c r="P331" s="51"/>
    </row>
    <row r="332" spans="8:16" ht="15" x14ac:dyDescent="0.25">
      <c r="H332" s="50"/>
      <c r="I332" s="50"/>
      <c r="J332" s="50"/>
      <c r="K332" s="51"/>
      <c r="L332" s="51"/>
      <c r="M332" s="51"/>
      <c r="N332" s="51"/>
      <c r="O332" s="51"/>
      <c r="P332" s="51"/>
    </row>
    <row r="333" spans="8:16" ht="15" x14ac:dyDescent="0.25">
      <c r="H333" s="50"/>
      <c r="I333" s="50"/>
      <c r="J333" s="50"/>
      <c r="K333" s="51"/>
      <c r="L333" s="51"/>
      <c r="M333" s="51"/>
      <c r="N333" s="51"/>
      <c r="O333" s="51"/>
      <c r="P333" s="51"/>
    </row>
    <row r="334" spans="8:16" ht="15" x14ac:dyDescent="0.25">
      <c r="H334" s="50"/>
      <c r="I334" s="50"/>
      <c r="J334" s="50"/>
      <c r="K334" s="51"/>
      <c r="L334" s="51"/>
      <c r="M334" s="51"/>
      <c r="N334" s="51"/>
      <c r="O334" s="51"/>
      <c r="P334" s="51"/>
    </row>
    <row r="335" spans="8:16" ht="15" x14ac:dyDescent="0.25">
      <c r="H335" s="50"/>
      <c r="I335" s="50"/>
      <c r="J335" s="50"/>
      <c r="K335" s="51"/>
      <c r="L335" s="51"/>
      <c r="M335" s="51"/>
      <c r="N335" s="51"/>
      <c r="O335" s="51"/>
      <c r="P335" s="51"/>
    </row>
    <row r="336" spans="8:16" ht="15" x14ac:dyDescent="0.25">
      <c r="H336" s="50"/>
      <c r="I336" s="50"/>
      <c r="J336" s="50"/>
      <c r="K336" s="51"/>
      <c r="L336" s="51"/>
      <c r="M336" s="51"/>
      <c r="N336" s="51"/>
      <c r="O336" s="51"/>
      <c r="P336" s="51"/>
    </row>
    <row r="337" spans="8:16" ht="15" x14ac:dyDescent="0.25">
      <c r="H337" s="50"/>
      <c r="I337" s="50"/>
      <c r="J337" s="50"/>
      <c r="K337" s="51"/>
      <c r="L337" s="51"/>
      <c r="M337" s="51"/>
      <c r="N337" s="51"/>
      <c r="O337" s="51"/>
      <c r="P337" s="51"/>
    </row>
    <row r="338" spans="8:16" ht="15" x14ac:dyDescent="0.25">
      <c r="H338" s="50"/>
      <c r="I338" s="50"/>
      <c r="J338" s="50"/>
      <c r="K338" s="51"/>
      <c r="L338" s="51"/>
      <c r="M338" s="51"/>
      <c r="N338" s="51"/>
      <c r="O338" s="51"/>
      <c r="P338" s="51"/>
    </row>
    <row r="339" spans="8:16" ht="15" x14ac:dyDescent="0.25">
      <c r="H339" s="50"/>
      <c r="I339" s="50"/>
      <c r="J339" s="50"/>
      <c r="K339" s="51"/>
      <c r="L339" s="51"/>
      <c r="M339" s="51"/>
      <c r="N339" s="51"/>
      <c r="O339" s="51"/>
      <c r="P339" s="51"/>
    </row>
    <row r="340" spans="8:16" ht="15" x14ac:dyDescent="0.25">
      <c r="H340" s="50"/>
      <c r="I340" s="50"/>
      <c r="J340" s="50"/>
      <c r="K340" s="51"/>
      <c r="L340" s="51"/>
      <c r="M340" s="51"/>
      <c r="N340" s="51"/>
      <c r="O340" s="51"/>
      <c r="P340" s="51"/>
    </row>
    <row r="341" spans="8:16" ht="15" x14ac:dyDescent="0.25">
      <c r="H341" s="50"/>
      <c r="I341" s="50"/>
      <c r="J341" s="50"/>
      <c r="K341" s="51"/>
      <c r="L341" s="51"/>
      <c r="M341" s="51"/>
      <c r="N341" s="51"/>
      <c r="O341" s="51"/>
      <c r="P341" s="51"/>
    </row>
    <row r="342" spans="8:16" ht="15" x14ac:dyDescent="0.25">
      <c r="H342" s="50"/>
      <c r="I342" s="50"/>
      <c r="J342" s="50"/>
      <c r="K342" s="51"/>
      <c r="L342" s="51"/>
      <c r="M342" s="51"/>
      <c r="N342" s="51"/>
      <c r="O342" s="51"/>
      <c r="P342" s="51"/>
    </row>
    <row r="343" spans="8:16" ht="15" x14ac:dyDescent="0.25">
      <c r="H343" s="50"/>
      <c r="I343" s="50"/>
      <c r="J343" s="50"/>
      <c r="K343" s="51"/>
      <c r="L343" s="51"/>
      <c r="M343" s="51"/>
      <c r="N343" s="51"/>
      <c r="O343" s="51"/>
      <c r="P343" s="51"/>
    </row>
    <row r="344" spans="8:16" ht="15" x14ac:dyDescent="0.25">
      <c r="H344" s="50"/>
      <c r="I344" s="50"/>
      <c r="J344" s="50"/>
      <c r="K344" s="51"/>
      <c r="L344" s="51"/>
      <c r="M344" s="51"/>
      <c r="N344" s="51"/>
      <c r="O344" s="51"/>
      <c r="P344" s="51"/>
    </row>
    <row r="345" spans="8:16" ht="15" x14ac:dyDescent="0.25">
      <c r="H345" s="50"/>
      <c r="I345" s="50"/>
      <c r="J345" s="50"/>
      <c r="K345" s="51"/>
      <c r="L345" s="51"/>
      <c r="M345" s="51"/>
      <c r="N345" s="51"/>
      <c r="O345" s="51"/>
      <c r="P345" s="51"/>
    </row>
    <row r="346" spans="8:16" ht="15" x14ac:dyDescent="0.25">
      <c r="H346" s="50"/>
      <c r="I346" s="50"/>
      <c r="J346" s="50"/>
      <c r="K346" s="51"/>
      <c r="L346" s="51"/>
      <c r="M346" s="51"/>
      <c r="N346" s="51"/>
      <c r="O346" s="51"/>
      <c r="P346" s="51"/>
    </row>
    <row r="347" spans="8:16" ht="15" x14ac:dyDescent="0.25">
      <c r="H347" s="50"/>
      <c r="I347" s="50"/>
      <c r="J347" s="50"/>
      <c r="K347" s="51"/>
      <c r="L347" s="51"/>
      <c r="M347" s="51"/>
      <c r="N347" s="51"/>
      <c r="O347" s="51"/>
      <c r="P347" s="51"/>
    </row>
    <row r="348" spans="8:16" ht="15" x14ac:dyDescent="0.25">
      <c r="H348" s="50"/>
      <c r="I348" s="50"/>
      <c r="J348" s="50"/>
      <c r="K348" s="51"/>
      <c r="L348" s="51"/>
      <c r="M348" s="51"/>
      <c r="N348" s="51"/>
      <c r="O348" s="51"/>
      <c r="P348" s="51"/>
    </row>
    <row r="349" spans="8:16" ht="15" x14ac:dyDescent="0.25">
      <c r="H349" s="50"/>
      <c r="I349" s="50"/>
      <c r="J349" s="50"/>
      <c r="K349" s="51"/>
      <c r="L349" s="51"/>
      <c r="M349" s="51"/>
      <c r="N349" s="51"/>
      <c r="O349" s="51"/>
      <c r="P349" s="51"/>
    </row>
    <row r="350" spans="8:16" ht="15" x14ac:dyDescent="0.25">
      <c r="H350" s="50"/>
      <c r="I350" s="50"/>
      <c r="J350" s="50"/>
      <c r="K350" s="51"/>
      <c r="L350" s="51"/>
      <c r="M350" s="51"/>
      <c r="N350" s="51"/>
      <c r="O350" s="51"/>
      <c r="P350" s="51"/>
    </row>
    <row r="351" spans="8:16" ht="15" x14ac:dyDescent="0.25">
      <c r="H351" s="50"/>
      <c r="I351" s="50"/>
      <c r="J351" s="50"/>
      <c r="K351" s="51"/>
      <c r="L351" s="51"/>
      <c r="M351" s="51"/>
      <c r="N351" s="51"/>
      <c r="O351" s="51"/>
      <c r="P351" s="51"/>
    </row>
    <row r="352" spans="8:16" ht="15" x14ac:dyDescent="0.25">
      <c r="H352" s="50"/>
      <c r="I352" s="50"/>
      <c r="J352" s="50"/>
      <c r="K352" s="51"/>
      <c r="L352" s="51"/>
      <c r="M352" s="51"/>
      <c r="N352" s="51"/>
      <c r="O352" s="51"/>
      <c r="P352" s="51"/>
    </row>
    <row r="353" spans="8:16" ht="15" x14ac:dyDescent="0.25">
      <c r="H353" s="50"/>
      <c r="I353" s="50"/>
      <c r="J353" s="50"/>
      <c r="K353" s="51"/>
      <c r="L353" s="51"/>
      <c r="M353" s="51"/>
      <c r="N353" s="51"/>
      <c r="O353" s="51"/>
      <c r="P353" s="51"/>
    </row>
    <row r="354" spans="8:16" ht="15" x14ac:dyDescent="0.25">
      <c r="H354" s="50"/>
      <c r="I354" s="50"/>
      <c r="J354" s="50"/>
      <c r="K354" s="51"/>
      <c r="L354" s="51"/>
      <c r="M354" s="51"/>
      <c r="N354" s="51"/>
      <c r="O354" s="51"/>
      <c r="P354" s="51"/>
    </row>
    <row r="355" spans="8:16" ht="15" x14ac:dyDescent="0.25">
      <c r="H355" s="50"/>
      <c r="I355" s="50"/>
      <c r="J355" s="50"/>
      <c r="K355" s="51"/>
      <c r="L355" s="51"/>
      <c r="M355" s="51"/>
      <c r="N355" s="51"/>
      <c r="O355" s="51"/>
      <c r="P355" s="51"/>
    </row>
    <row r="356" spans="8:16" ht="15" x14ac:dyDescent="0.25">
      <c r="H356" s="50"/>
      <c r="I356" s="50"/>
      <c r="J356" s="50"/>
      <c r="K356" s="51"/>
      <c r="L356" s="51"/>
      <c r="M356" s="51"/>
      <c r="N356" s="51"/>
      <c r="O356" s="51"/>
      <c r="P356" s="51"/>
    </row>
    <row r="357" spans="8:16" ht="15" x14ac:dyDescent="0.25">
      <c r="H357" s="50"/>
      <c r="I357" s="50"/>
      <c r="J357" s="50"/>
      <c r="K357" s="51"/>
      <c r="L357" s="51"/>
      <c r="M357" s="51"/>
      <c r="N357" s="51"/>
      <c r="O357" s="51"/>
      <c r="P357" s="51"/>
    </row>
    <row r="358" spans="8:16" ht="15" x14ac:dyDescent="0.25">
      <c r="H358" s="50"/>
      <c r="I358" s="50"/>
      <c r="J358" s="50"/>
      <c r="K358" s="51"/>
      <c r="L358" s="51"/>
      <c r="M358" s="51"/>
      <c r="N358" s="51"/>
      <c r="O358" s="51"/>
      <c r="P358" s="51"/>
    </row>
    <row r="359" spans="8:16" ht="15" x14ac:dyDescent="0.25">
      <c r="H359" s="50"/>
      <c r="I359" s="50"/>
      <c r="J359" s="50"/>
      <c r="K359" s="51"/>
      <c r="L359" s="51"/>
      <c r="M359" s="51"/>
      <c r="N359" s="51"/>
      <c r="O359" s="51"/>
      <c r="P359" s="51"/>
    </row>
    <row r="360" spans="8:16" ht="15" x14ac:dyDescent="0.25">
      <c r="H360" s="50"/>
      <c r="I360" s="50"/>
      <c r="J360" s="50"/>
      <c r="K360" s="51"/>
      <c r="L360" s="51"/>
      <c r="M360" s="51"/>
      <c r="N360" s="51"/>
      <c r="O360" s="51"/>
      <c r="P360" s="51"/>
    </row>
    <row r="361" spans="8:16" ht="15" x14ac:dyDescent="0.25">
      <c r="H361" s="50"/>
      <c r="I361" s="50"/>
      <c r="J361" s="50"/>
      <c r="K361" s="51"/>
      <c r="L361" s="51"/>
      <c r="M361" s="51"/>
      <c r="N361" s="51"/>
      <c r="O361" s="51"/>
      <c r="P361" s="51"/>
    </row>
    <row r="362" spans="8:16" ht="15" x14ac:dyDescent="0.25">
      <c r="H362" s="50"/>
      <c r="I362" s="50"/>
      <c r="J362" s="50"/>
      <c r="K362" s="51"/>
      <c r="L362" s="51"/>
      <c r="M362" s="51"/>
      <c r="N362" s="51"/>
      <c r="O362" s="51"/>
      <c r="P362" s="51"/>
    </row>
    <row r="363" spans="8:16" ht="15" x14ac:dyDescent="0.25">
      <c r="H363" s="50"/>
      <c r="I363" s="50"/>
      <c r="J363" s="50"/>
      <c r="K363" s="51"/>
      <c r="L363" s="51"/>
      <c r="M363" s="51"/>
      <c r="N363" s="51"/>
      <c r="O363" s="51"/>
      <c r="P363" s="51"/>
    </row>
    <row r="364" spans="8:16" ht="15" x14ac:dyDescent="0.25">
      <c r="H364" s="50"/>
      <c r="I364" s="50"/>
      <c r="J364" s="50"/>
      <c r="K364" s="51"/>
      <c r="L364" s="51"/>
      <c r="M364" s="51"/>
      <c r="N364" s="51"/>
      <c r="O364" s="51"/>
      <c r="P364" s="51"/>
    </row>
    <row r="365" spans="8:16" ht="15" x14ac:dyDescent="0.25">
      <c r="H365" s="50"/>
      <c r="I365" s="50"/>
      <c r="J365" s="50"/>
      <c r="K365" s="51"/>
      <c r="L365" s="51"/>
      <c r="M365" s="51"/>
      <c r="N365" s="51"/>
      <c r="O365" s="51"/>
      <c r="P365" s="51"/>
    </row>
    <row r="366" spans="8:16" ht="15" x14ac:dyDescent="0.25">
      <c r="H366" s="50"/>
      <c r="I366" s="50"/>
      <c r="J366" s="50"/>
      <c r="K366" s="51"/>
      <c r="L366" s="51"/>
      <c r="M366" s="51"/>
      <c r="N366" s="51"/>
      <c r="O366" s="51"/>
      <c r="P366" s="51"/>
    </row>
    <row r="367" spans="8:16" ht="15" x14ac:dyDescent="0.25">
      <c r="H367" s="50"/>
      <c r="I367" s="50"/>
      <c r="J367" s="50"/>
      <c r="K367" s="51"/>
      <c r="L367" s="51"/>
      <c r="M367" s="51"/>
      <c r="N367" s="51"/>
      <c r="O367" s="51"/>
      <c r="P367" s="51"/>
    </row>
    <row r="368" spans="8:16" ht="15" x14ac:dyDescent="0.25">
      <c r="H368" s="50"/>
      <c r="I368" s="50"/>
      <c r="J368" s="50"/>
      <c r="K368" s="51"/>
      <c r="L368" s="51"/>
      <c r="M368" s="51"/>
      <c r="N368" s="51"/>
      <c r="O368" s="51"/>
      <c r="P368" s="51"/>
    </row>
    <row r="369" spans="8:16" ht="15" x14ac:dyDescent="0.25">
      <c r="H369" s="50"/>
      <c r="I369" s="50"/>
      <c r="J369" s="50"/>
      <c r="K369" s="51"/>
      <c r="L369" s="51"/>
      <c r="M369" s="51"/>
      <c r="N369" s="51"/>
      <c r="O369" s="51"/>
      <c r="P369" s="51"/>
    </row>
    <row r="370" spans="8:16" ht="15" x14ac:dyDescent="0.25">
      <c r="H370" s="50"/>
      <c r="I370" s="50"/>
      <c r="J370" s="50"/>
      <c r="K370" s="51"/>
      <c r="L370" s="51"/>
      <c r="M370" s="51"/>
      <c r="N370" s="51"/>
      <c r="O370" s="51"/>
      <c r="P370" s="51"/>
    </row>
    <row r="371" spans="8:16" ht="15" x14ac:dyDescent="0.25">
      <c r="H371" s="50"/>
      <c r="I371" s="50"/>
      <c r="J371" s="50"/>
      <c r="K371" s="51"/>
      <c r="L371" s="51"/>
      <c r="M371" s="51"/>
      <c r="N371" s="51"/>
      <c r="O371" s="51"/>
      <c r="P371" s="51"/>
    </row>
    <row r="372" spans="8:16" ht="15" x14ac:dyDescent="0.25">
      <c r="H372" s="50"/>
      <c r="I372" s="50"/>
      <c r="J372" s="50"/>
      <c r="K372" s="51"/>
      <c r="L372" s="51"/>
      <c r="M372" s="51"/>
      <c r="N372" s="51"/>
      <c r="O372" s="51"/>
      <c r="P372" s="51"/>
    </row>
    <row r="373" spans="8:16" ht="15" x14ac:dyDescent="0.25">
      <c r="H373" s="50"/>
      <c r="I373" s="50"/>
      <c r="J373" s="50"/>
      <c r="K373" s="51"/>
      <c r="L373" s="51"/>
      <c r="M373" s="51"/>
      <c r="N373" s="51"/>
      <c r="O373" s="51"/>
      <c r="P373" s="51"/>
    </row>
    <row r="374" spans="8:16" ht="15" x14ac:dyDescent="0.25">
      <c r="H374" s="50"/>
      <c r="I374" s="50"/>
      <c r="J374" s="50"/>
      <c r="K374" s="51"/>
      <c r="L374" s="51"/>
      <c r="M374" s="51"/>
      <c r="N374" s="51"/>
      <c r="O374" s="51"/>
      <c r="P374" s="51"/>
    </row>
    <row r="375" spans="8:16" ht="15" x14ac:dyDescent="0.25">
      <c r="H375" s="50"/>
      <c r="I375" s="50"/>
      <c r="J375" s="50"/>
      <c r="K375" s="51"/>
      <c r="L375" s="51"/>
      <c r="M375" s="51"/>
      <c r="N375" s="51"/>
      <c r="O375" s="51"/>
      <c r="P375" s="51"/>
    </row>
    <row r="376" spans="8:16" ht="15" x14ac:dyDescent="0.25">
      <c r="H376" s="50"/>
      <c r="I376" s="50"/>
      <c r="J376" s="50"/>
      <c r="K376" s="51"/>
      <c r="L376" s="51"/>
      <c r="M376" s="51"/>
      <c r="N376" s="51"/>
      <c r="O376" s="51"/>
      <c r="P376" s="51"/>
    </row>
    <row r="377" spans="8:16" ht="15" x14ac:dyDescent="0.25">
      <c r="H377" s="50"/>
      <c r="I377" s="50"/>
      <c r="J377" s="50"/>
      <c r="K377" s="51"/>
      <c r="L377" s="51"/>
      <c r="M377" s="51"/>
      <c r="N377" s="51"/>
      <c r="O377" s="51"/>
      <c r="P377" s="51"/>
    </row>
    <row r="378" spans="8:16" ht="15" x14ac:dyDescent="0.25">
      <c r="H378" s="50"/>
      <c r="I378" s="50"/>
      <c r="J378" s="50"/>
      <c r="K378" s="51"/>
      <c r="L378" s="51"/>
      <c r="M378" s="51"/>
      <c r="N378" s="51"/>
      <c r="O378" s="51"/>
      <c r="P378" s="51"/>
    </row>
    <row r="379" spans="8:16" ht="15" x14ac:dyDescent="0.25">
      <c r="H379" s="50"/>
      <c r="I379" s="50"/>
      <c r="J379" s="50"/>
      <c r="K379" s="51"/>
      <c r="L379" s="51"/>
      <c r="M379" s="51"/>
      <c r="N379" s="51"/>
      <c r="O379" s="51"/>
      <c r="P379" s="51"/>
    </row>
    <row r="380" spans="8:16" ht="15" x14ac:dyDescent="0.25">
      <c r="H380" s="50"/>
      <c r="I380" s="50"/>
      <c r="J380" s="50"/>
      <c r="K380" s="51"/>
      <c r="L380" s="51"/>
      <c r="M380" s="51"/>
      <c r="N380" s="51"/>
      <c r="O380" s="51"/>
      <c r="P380" s="51"/>
    </row>
    <row r="381" spans="8:16" ht="15" x14ac:dyDescent="0.25">
      <c r="H381" s="50"/>
      <c r="I381" s="50"/>
      <c r="J381" s="50"/>
      <c r="K381" s="51"/>
      <c r="L381" s="51"/>
      <c r="M381" s="51"/>
      <c r="N381" s="51"/>
      <c r="O381" s="51"/>
      <c r="P381" s="51"/>
    </row>
    <row r="382" spans="8:16" ht="15" x14ac:dyDescent="0.25">
      <c r="H382" s="50"/>
      <c r="I382" s="50"/>
      <c r="J382" s="50"/>
      <c r="K382" s="51"/>
      <c r="L382" s="51"/>
      <c r="M382" s="51"/>
      <c r="N382" s="51"/>
      <c r="O382" s="51"/>
      <c r="P382" s="51"/>
    </row>
    <row r="383" spans="8:16" ht="15" x14ac:dyDescent="0.25">
      <c r="H383" s="50"/>
      <c r="I383" s="50"/>
      <c r="J383" s="50"/>
      <c r="K383" s="51"/>
      <c r="L383" s="51"/>
      <c r="M383" s="51"/>
      <c r="N383" s="51"/>
      <c r="O383" s="51"/>
      <c r="P383" s="51"/>
    </row>
    <row r="384" spans="8:16" ht="15" x14ac:dyDescent="0.25">
      <c r="H384" s="50"/>
      <c r="I384" s="50"/>
      <c r="J384" s="50"/>
      <c r="K384" s="51"/>
      <c r="L384" s="51"/>
      <c r="M384" s="51"/>
      <c r="N384" s="51"/>
      <c r="O384" s="51"/>
      <c r="P384" s="51"/>
    </row>
    <row r="385" spans="8:16" ht="15" x14ac:dyDescent="0.25">
      <c r="H385" s="50"/>
      <c r="I385" s="50"/>
      <c r="J385" s="50"/>
      <c r="K385" s="51"/>
      <c r="L385" s="51"/>
      <c r="M385" s="51"/>
      <c r="N385" s="51"/>
      <c r="O385" s="51"/>
      <c r="P385" s="51"/>
    </row>
    <row r="386" spans="8:16" ht="15" x14ac:dyDescent="0.25">
      <c r="H386" s="50"/>
      <c r="I386" s="50"/>
      <c r="J386" s="50"/>
      <c r="K386" s="51"/>
      <c r="L386" s="51"/>
      <c r="M386" s="51"/>
      <c r="N386" s="51"/>
      <c r="O386" s="51"/>
      <c r="P386" s="51"/>
    </row>
    <row r="387" spans="8:16" ht="15" x14ac:dyDescent="0.25">
      <c r="H387" s="50"/>
      <c r="I387" s="50"/>
      <c r="J387" s="50"/>
      <c r="K387" s="51"/>
      <c r="L387" s="51"/>
      <c r="M387" s="51"/>
      <c r="N387" s="51"/>
      <c r="O387" s="51"/>
      <c r="P387" s="51"/>
    </row>
    <row r="388" spans="8:16" ht="15" x14ac:dyDescent="0.25">
      <c r="H388" s="50"/>
      <c r="I388" s="50"/>
      <c r="J388" s="50"/>
      <c r="K388" s="51"/>
      <c r="L388" s="51"/>
      <c r="M388" s="51"/>
      <c r="N388" s="51"/>
      <c r="O388" s="51"/>
      <c r="P388" s="51"/>
    </row>
    <row r="389" spans="8:16" ht="15" x14ac:dyDescent="0.25">
      <c r="H389" s="50"/>
      <c r="I389" s="50"/>
      <c r="J389" s="50"/>
      <c r="K389" s="51"/>
      <c r="L389" s="51"/>
      <c r="M389" s="51"/>
      <c r="N389" s="51"/>
      <c r="O389" s="51"/>
      <c r="P389" s="51"/>
    </row>
    <row r="390" spans="8:16" ht="15" x14ac:dyDescent="0.25">
      <c r="H390" s="50"/>
      <c r="I390" s="50"/>
      <c r="J390" s="50"/>
      <c r="K390" s="51"/>
      <c r="L390" s="51"/>
      <c r="M390" s="51"/>
      <c r="N390" s="51"/>
      <c r="O390" s="51"/>
      <c r="P390" s="51"/>
    </row>
    <row r="391" spans="8:16" ht="15" x14ac:dyDescent="0.25">
      <c r="H391" s="50"/>
      <c r="I391" s="50"/>
      <c r="J391" s="50"/>
      <c r="K391" s="51"/>
      <c r="L391" s="51"/>
      <c r="M391" s="51"/>
      <c r="N391" s="51"/>
      <c r="O391" s="51"/>
      <c r="P391" s="51"/>
    </row>
    <row r="392" spans="8:16" ht="15" x14ac:dyDescent="0.25">
      <c r="H392" s="50"/>
      <c r="I392" s="50"/>
      <c r="J392" s="50"/>
      <c r="K392" s="51"/>
      <c r="L392" s="51"/>
      <c r="M392" s="51"/>
      <c r="N392" s="51"/>
      <c r="O392" s="51"/>
      <c r="P392" s="51"/>
    </row>
    <row r="393" spans="8:16" ht="15" x14ac:dyDescent="0.25">
      <c r="H393" s="50"/>
      <c r="I393" s="50"/>
      <c r="J393" s="50"/>
      <c r="K393" s="51"/>
      <c r="L393" s="51"/>
      <c r="M393" s="51"/>
      <c r="N393" s="51"/>
      <c r="O393" s="51"/>
      <c r="P393" s="51"/>
    </row>
    <row r="394" spans="8:16" ht="15" x14ac:dyDescent="0.25">
      <c r="H394" s="50"/>
      <c r="I394" s="50"/>
      <c r="J394" s="50"/>
      <c r="K394" s="51"/>
      <c r="L394" s="51"/>
      <c r="M394" s="51"/>
      <c r="N394" s="51"/>
      <c r="O394" s="51"/>
      <c r="P394" s="51"/>
    </row>
    <row r="395" spans="8:16" ht="15" x14ac:dyDescent="0.25">
      <c r="H395" s="50"/>
      <c r="I395" s="50"/>
      <c r="J395" s="50"/>
      <c r="K395" s="51"/>
      <c r="L395" s="51"/>
      <c r="M395" s="51"/>
      <c r="N395" s="51"/>
      <c r="O395" s="51"/>
      <c r="P395" s="51"/>
    </row>
    <row r="396" spans="8:16" ht="15" x14ac:dyDescent="0.25">
      <c r="H396" s="50"/>
      <c r="I396" s="50"/>
      <c r="J396" s="50"/>
      <c r="K396" s="51"/>
      <c r="L396" s="51"/>
      <c r="M396" s="51"/>
      <c r="N396" s="51"/>
      <c r="O396" s="51"/>
      <c r="P396" s="51"/>
    </row>
    <row r="397" spans="8:16" ht="15" x14ac:dyDescent="0.25">
      <c r="H397" s="50"/>
      <c r="I397" s="50"/>
      <c r="J397" s="50"/>
      <c r="K397" s="51"/>
      <c r="L397" s="51"/>
      <c r="M397" s="51"/>
      <c r="N397" s="51"/>
      <c r="O397" s="51"/>
      <c r="P397" s="51"/>
    </row>
    <row r="398" spans="8:16" ht="15" x14ac:dyDescent="0.25">
      <c r="H398" s="50"/>
      <c r="I398" s="50"/>
      <c r="J398" s="50"/>
      <c r="K398" s="51"/>
      <c r="L398" s="51"/>
      <c r="M398" s="51"/>
      <c r="N398" s="51"/>
      <c r="O398" s="51"/>
      <c r="P398" s="51"/>
    </row>
    <row r="399" spans="8:16" ht="15" x14ac:dyDescent="0.25">
      <c r="H399" s="50"/>
      <c r="I399" s="50"/>
      <c r="J399" s="50"/>
      <c r="K399" s="51"/>
      <c r="L399" s="51"/>
      <c r="M399" s="51"/>
      <c r="N399" s="51"/>
      <c r="O399" s="51"/>
      <c r="P399" s="51"/>
    </row>
    <row r="400" spans="8:16" ht="15" x14ac:dyDescent="0.25">
      <c r="H400" s="50"/>
      <c r="I400" s="50"/>
      <c r="J400" s="50"/>
      <c r="K400" s="51"/>
      <c r="L400" s="51"/>
      <c r="M400" s="51"/>
      <c r="N400" s="51"/>
      <c r="O400" s="51"/>
      <c r="P400" s="51"/>
    </row>
    <row r="401" spans="8:16" ht="15" x14ac:dyDescent="0.25">
      <c r="H401" s="50"/>
      <c r="I401" s="50"/>
      <c r="J401" s="50"/>
      <c r="K401" s="51"/>
      <c r="L401" s="51"/>
      <c r="M401" s="51"/>
      <c r="N401" s="51"/>
      <c r="O401" s="51"/>
      <c r="P401" s="51"/>
    </row>
    <row r="402" spans="8:16" ht="15" x14ac:dyDescent="0.25">
      <c r="H402" s="50"/>
      <c r="I402" s="50"/>
      <c r="J402" s="50"/>
      <c r="K402" s="51"/>
      <c r="L402" s="51"/>
      <c r="M402" s="51"/>
      <c r="N402" s="51"/>
      <c r="O402" s="51"/>
      <c r="P402" s="51"/>
    </row>
    <row r="403" spans="8:16" ht="15" x14ac:dyDescent="0.25">
      <c r="H403" s="50"/>
      <c r="I403" s="50"/>
      <c r="J403" s="50"/>
      <c r="K403" s="51"/>
      <c r="L403" s="51"/>
      <c r="M403" s="51"/>
      <c r="N403" s="51"/>
      <c r="O403" s="51"/>
      <c r="P403" s="51"/>
    </row>
    <row r="404" spans="8:16" ht="15" x14ac:dyDescent="0.25">
      <c r="H404" s="50"/>
      <c r="I404" s="50"/>
      <c r="J404" s="50"/>
      <c r="K404" s="51"/>
      <c r="L404" s="51"/>
      <c r="M404" s="51"/>
      <c r="N404" s="51"/>
      <c r="O404" s="51"/>
      <c r="P404" s="51"/>
    </row>
    <row r="405" spans="8:16" ht="15" x14ac:dyDescent="0.25">
      <c r="H405" s="50"/>
      <c r="I405" s="50"/>
      <c r="J405" s="50"/>
      <c r="K405" s="51"/>
      <c r="L405" s="51"/>
      <c r="M405" s="51"/>
      <c r="N405" s="51"/>
      <c r="O405" s="51"/>
      <c r="P405" s="51"/>
    </row>
    <row r="406" spans="8:16" ht="15" x14ac:dyDescent="0.25">
      <c r="H406" s="50"/>
      <c r="I406" s="50"/>
      <c r="J406" s="50"/>
      <c r="K406" s="51"/>
      <c r="L406" s="51"/>
      <c r="M406" s="51"/>
      <c r="N406" s="51"/>
      <c r="O406" s="51"/>
      <c r="P406" s="51"/>
    </row>
    <row r="407" spans="8:16" ht="15" x14ac:dyDescent="0.25">
      <c r="H407" s="50"/>
      <c r="I407" s="50"/>
      <c r="J407" s="50"/>
      <c r="K407" s="51"/>
      <c r="L407" s="51"/>
      <c r="M407" s="51"/>
      <c r="N407" s="51"/>
      <c r="O407" s="51"/>
      <c r="P407" s="51"/>
    </row>
    <row r="408" spans="8:16" ht="15" x14ac:dyDescent="0.25">
      <c r="H408" s="50"/>
      <c r="I408" s="50"/>
      <c r="J408" s="50"/>
      <c r="K408" s="51"/>
      <c r="L408" s="51"/>
      <c r="M408" s="51"/>
      <c r="N408" s="51"/>
      <c r="O408" s="51"/>
      <c r="P408" s="51"/>
    </row>
    <row r="409" spans="8:16" ht="15" x14ac:dyDescent="0.25">
      <c r="H409" s="50"/>
      <c r="I409" s="50"/>
      <c r="J409" s="50"/>
      <c r="K409" s="51"/>
      <c r="L409" s="51"/>
      <c r="M409" s="51"/>
      <c r="N409" s="51"/>
      <c r="O409" s="51"/>
      <c r="P409" s="51"/>
    </row>
    <row r="410" spans="8:16" ht="15" x14ac:dyDescent="0.25">
      <c r="H410" s="50"/>
      <c r="I410" s="50"/>
      <c r="J410" s="50"/>
      <c r="K410" s="51"/>
      <c r="L410" s="51"/>
      <c r="M410" s="51"/>
      <c r="N410" s="51"/>
      <c r="O410" s="51"/>
      <c r="P410" s="51"/>
    </row>
    <row r="411" spans="8:16" ht="15" x14ac:dyDescent="0.25">
      <c r="H411" s="50"/>
      <c r="I411" s="50"/>
      <c r="J411" s="50"/>
      <c r="K411" s="51"/>
      <c r="L411" s="51"/>
      <c r="M411" s="51"/>
      <c r="N411" s="51"/>
      <c r="O411" s="51"/>
      <c r="P411" s="51"/>
    </row>
    <row r="412" spans="8:16" ht="15" x14ac:dyDescent="0.25">
      <c r="H412" s="50"/>
      <c r="I412" s="50"/>
      <c r="J412" s="50"/>
      <c r="K412" s="51"/>
      <c r="L412" s="51"/>
      <c r="M412" s="51"/>
      <c r="N412" s="51"/>
      <c r="O412" s="51"/>
      <c r="P412" s="51"/>
    </row>
    <row r="413" spans="8:16" ht="15" x14ac:dyDescent="0.25">
      <c r="H413" s="50"/>
      <c r="I413" s="50"/>
      <c r="J413" s="50"/>
      <c r="K413" s="51"/>
      <c r="L413" s="51"/>
      <c r="M413" s="51"/>
      <c r="N413" s="51"/>
      <c r="O413" s="51"/>
      <c r="P413" s="51"/>
    </row>
    <row r="414" spans="8:16" ht="15" x14ac:dyDescent="0.25">
      <c r="H414" s="50"/>
      <c r="I414" s="50"/>
      <c r="J414" s="50"/>
      <c r="K414" s="51"/>
      <c r="L414" s="51"/>
      <c r="M414" s="51"/>
      <c r="N414" s="51"/>
      <c r="O414" s="51"/>
      <c r="P414" s="51"/>
    </row>
    <row r="415" spans="8:16" ht="15" x14ac:dyDescent="0.25">
      <c r="H415" s="50"/>
      <c r="I415" s="50"/>
      <c r="J415" s="50"/>
      <c r="K415" s="51"/>
      <c r="L415" s="51"/>
      <c r="M415" s="51"/>
      <c r="N415" s="51"/>
      <c r="O415" s="51"/>
      <c r="P415" s="51"/>
    </row>
    <row r="416" spans="8:16" ht="15" x14ac:dyDescent="0.25">
      <c r="H416" s="50"/>
      <c r="I416" s="50"/>
      <c r="J416" s="50"/>
      <c r="K416" s="51"/>
      <c r="L416" s="51"/>
      <c r="M416" s="51"/>
      <c r="N416" s="51"/>
      <c r="O416" s="51"/>
      <c r="P416" s="51"/>
    </row>
    <row r="417" spans="8:16" ht="15" x14ac:dyDescent="0.25">
      <c r="H417" s="50"/>
      <c r="I417" s="50"/>
      <c r="J417" s="50"/>
      <c r="K417" s="51"/>
      <c r="L417" s="51"/>
      <c r="M417" s="51"/>
      <c r="N417" s="51"/>
      <c r="O417" s="51"/>
      <c r="P417" s="51"/>
    </row>
    <row r="418" spans="8:16" ht="15" x14ac:dyDescent="0.25">
      <c r="H418" s="50"/>
      <c r="I418" s="50"/>
      <c r="J418" s="50"/>
      <c r="K418" s="51"/>
      <c r="L418" s="51"/>
      <c r="M418" s="51"/>
      <c r="N418" s="51"/>
      <c r="O418" s="51"/>
      <c r="P418" s="51"/>
    </row>
    <row r="419" spans="8:16" ht="15" x14ac:dyDescent="0.25">
      <c r="H419" s="50"/>
      <c r="I419" s="50"/>
      <c r="J419" s="50"/>
      <c r="K419" s="51"/>
      <c r="L419" s="51"/>
      <c r="M419" s="51"/>
      <c r="N419" s="51"/>
      <c r="O419" s="51"/>
      <c r="P419" s="51"/>
    </row>
    <row r="420" spans="8:16" ht="15" x14ac:dyDescent="0.25">
      <c r="H420" s="50"/>
      <c r="I420" s="50"/>
      <c r="J420" s="50"/>
      <c r="K420" s="51"/>
      <c r="L420" s="51"/>
      <c r="M420" s="51"/>
      <c r="N420" s="51"/>
      <c r="O420" s="51"/>
      <c r="P420" s="51"/>
    </row>
    <row r="421" spans="8:16" ht="15" x14ac:dyDescent="0.25">
      <c r="H421" s="50"/>
      <c r="I421" s="50"/>
      <c r="J421" s="50"/>
      <c r="K421" s="51"/>
      <c r="L421" s="51"/>
      <c r="M421" s="51"/>
      <c r="N421" s="51"/>
      <c r="O421" s="51"/>
      <c r="P421" s="51"/>
    </row>
    <row r="422" spans="8:16" ht="15" x14ac:dyDescent="0.25">
      <c r="H422" s="50"/>
      <c r="I422" s="50"/>
      <c r="J422" s="50"/>
      <c r="K422" s="51"/>
      <c r="L422" s="51"/>
      <c r="M422" s="51"/>
      <c r="N422" s="51"/>
      <c r="O422" s="51"/>
      <c r="P422" s="51"/>
    </row>
    <row r="423" spans="8:16" ht="15" x14ac:dyDescent="0.25">
      <c r="H423" s="50"/>
      <c r="I423" s="50"/>
      <c r="J423" s="50"/>
      <c r="K423" s="51"/>
      <c r="L423" s="51"/>
      <c r="M423" s="51"/>
      <c r="N423" s="51"/>
      <c r="O423" s="51"/>
      <c r="P423" s="51"/>
    </row>
    <row r="424" spans="8:16" ht="15" x14ac:dyDescent="0.25">
      <c r="H424" s="50"/>
      <c r="I424" s="50"/>
      <c r="J424" s="50"/>
      <c r="K424" s="51"/>
      <c r="L424" s="51"/>
      <c r="M424" s="51"/>
      <c r="N424" s="51"/>
      <c r="O424" s="51"/>
      <c r="P424" s="51"/>
    </row>
    <row r="425" spans="8:16" ht="15" x14ac:dyDescent="0.25">
      <c r="H425" s="50"/>
      <c r="I425" s="50"/>
      <c r="J425" s="50"/>
      <c r="K425" s="51"/>
      <c r="L425" s="51"/>
      <c r="M425" s="51"/>
      <c r="N425" s="51"/>
      <c r="O425" s="51"/>
      <c r="P425" s="51"/>
    </row>
    <row r="426" spans="8:16" ht="15" x14ac:dyDescent="0.25">
      <c r="H426" s="50"/>
      <c r="I426" s="50"/>
      <c r="J426" s="50"/>
      <c r="K426" s="51"/>
      <c r="L426" s="51"/>
      <c r="M426" s="51"/>
      <c r="N426" s="51"/>
      <c r="O426" s="51"/>
      <c r="P426" s="51"/>
    </row>
    <row r="427" spans="8:16" ht="15" x14ac:dyDescent="0.25">
      <c r="H427" s="50"/>
      <c r="I427" s="50"/>
      <c r="J427" s="50"/>
      <c r="K427" s="51"/>
      <c r="L427" s="51"/>
      <c r="M427" s="51"/>
      <c r="N427" s="51"/>
      <c r="O427" s="51"/>
      <c r="P427" s="51"/>
    </row>
    <row r="428" spans="8:16" ht="15" x14ac:dyDescent="0.25">
      <c r="H428" s="50"/>
      <c r="I428" s="50"/>
      <c r="J428" s="50"/>
      <c r="K428" s="51"/>
      <c r="L428" s="51"/>
      <c r="M428" s="51"/>
      <c r="N428" s="51"/>
      <c r="O428" s="51"/>
      <c r="P428" s="51"/>
    </row>
    <row r="429" spans="8:16" ht="15" x14ac:dyDescent="0.25">
      <c r="H429" s="50"/>
      <c r="I429" s="50"/>
      <c r="J429" s="50"/>
      <c r="K429" s="51"/>
      <c r="L429" s="51"/>
      <c r="M429" s="51"/>
      <c r="N429" s="51"/>
      <c r="O429" s="51"/>
      <c r="P429" s="51"/>
    </row>
    <row r="430" spans="8:16" ht="15" x14ac:dyDescent="0.25">
      <c r="H430" s="50"/>
      <c r="I430" s="50"/>
      <c r="J430" s="50"/>
      <c r="K430" s="51"/>
      <c r="L430" s="51"/>
      <c r="M430" s="51"/>
      <c r="N430" s="51"/>
      <c r="O430" s="51"/>
      <c r="P430" s="51"/>
    </row>
    <row r="431" spans="8:16" ht="15" x14ac:dyDescent="0.25">
      <c r="H431" s="50"/>
      <c r="I431" s="50"/>
      <c r="J431" s="50"/>
      <c r="K431" s="51"/>
      <c r="L431" s="51"/>
      <c r="M431" s="51"/>
      <c r="N431" s="51"/>
      <c r="O431" s="51"/>
      <c r="P431" s="51"/>
    </row>
    <row r="432" spans="8:16" ht="15" x14ac:dyDescent="0.25">
      <c r="H432" s="50"/>
      <c r="I432" s="50"/>
      <c r="J432" s="50"/>
      <c r="K432" s="51"/>
      <c r="L432" s="51"/>
      <c r="M432" s="51"/>
      <c r="N432" s="51"/>
      <c r="O432" s="51"/>
      <c r="P432" s="51"/>
    </row>
    <row r="433" spans="8:16" ht="15" x14ac:dyDescent="0.25">
      <c r="H433" s="50"/>
      <c r="I433" s="50"/>
      <c r="J433" s="50"/>
      <c r="K433" s="51"/>
      <c r="L433" s="51"/>
      <c r="M433" s="51"/>
      <c r="N433" s="51"/>
      <c r="O433" s="51"/>
      <c r="P433" s="51"/>
    </row>
    <row r="434" spans="8:16" ht="15" x14ac:dyDescent="0.25">
      <c r="H434" s="50"/>
      <c r="I434" s="50"/>
      <c r="J434" s="50"/>
      <c r="K434" s="51"/>
      <c r="L434" s="51"/>
      <c r="M434" s="51"/>
      <c r="N434" s="51"/>
      <c r="O434" s="51"/>
      <c r="P434" s="51"/>
    </row>
    <row r="435" spans="8:16" ht="15" x14ac:dyDescent="0.25">
      <c r="H435" s="50"/>
      <c r="I435" s="50"/>
      <c r="J435" s="50"/>
      <c r="K435" s="51"/>
      <c r="L435" s="51"/>
      <c r="M435" s="51"/>
      <c r="N435" s="51"/>
      <c r="O435" s="51"/>
      <c r="P435" s="51"/>
    </row>
    <row r="436" spans="8:16" ht="15" x14ac:dyDescent="0.25">
      <c r="H436" s="50"/>
      <c r="I436" s="50"/>
      <c r="J436" s="50"/>
      <c r="K436" s="51"/>
      <c r="L436" s="51"/>
      <c r="M436" s="51"/>
      <c r="N436" s="51"/>
      <c r="O436" s="51"/>
      <c r="P436" s="51"/>
    </row>
    <row r="437" spans="8:16" ht="15" x14ac:dyDescent="0.25">
      <c r="H437" s="50"/>
      <c r="I437" s="50"/>
      <c r="J437" s="50"/>
      <c r="K437" s="51"/>
      <c r="L437" s="51"/>
      <c r="M437" s="51"/>
      <c r="N437" s="51"/>
      <c r="O437" s="51"/>
      <c r="P437" s="51"/>
    </row>
    <row r="438" spans="8:16" ht="15" x14ac:dyDescent="0.25">
      <c r="H438" s="50"/>
      <c r="I438" s="50"/>
      <c r="J438" s="50"/>
      <c r="K438" s="51"/>
      <c r="L438" s="51"/>
      <c r="M438" s="51"/>
      <c r="N438" s="51"/>
      <c r="O438" s="51"/>
      <c r="P438" s="51"/>
    </row>
    <row r="439" spans="8:16" ht="15" x14ac:dyDescent="0.25">
      <c r="H439" s="50"/>
      <c r="I439" s="50"/>
      <c r="J439" s="50"/>
      <c r="K439" s="51"/>
      <c r="L439" s="51"/>
      <c r="M439" s="51"/>
      <c r="N439" s="51"/>
      <c r="O439" s="51"/>
      <c r="P439" s="51"/>
    </row>
    <row r="440" spans="8:16" ht="15" x14ac:dyDescent="0.25">
      <c r="H440" s="50"/>
      <c r="I440" s="50"/>
      <c r="J440" s="50"/>
      <c r="K440" s="51"/>
      <c r="L440" s="51"/>
      <c r="M440" s="51"/>
      <c r="N440" s="51"/>
      <c r="O440" s="51"/>
      <c r="P440" s="51"/>
    </row>
    <row r="441" spans="8:16" ht="15" x14ac:dyDescent="0.25">
      <c r="H441" s="50"/>
      <c r="I441" s="50"/>
      <c r="J441" s="50"/>
      <c r="K441" s="51"/>
      <c r="L441" s="51"/>
      <c r="M441" s="51"/>
      <c r="N441" s="51"/>
      <c r="O441" s="51"/>
      <c r="P441" s="51"/>
    </row>
    <row r="442" spans="8:16" ht="15" x14ac:dyDescent="0.25">
      <c r="H442" s="50"/>
      <c r="I442" s="50"/>
      <c r="J442" s="50"/>
      <c r="K442" s="51"/>
      <c r="L442" s="51"/>
      <c r="M442" s="51"/>
      <c r="N442" s="51"/>
      <c r="O442" s="51"/>
      <c r="P442" s="51"/>
    </row>
    <row r="443" spans="8:16" ht="15" x14ac:dyDescent="0.25">
      <c r="H443" s="50"/>
      <c r="I443" s="50"/>
      <c r="J443" s="50"/>
      <c r="K443" s="51"/>
      <c r="L443" s="51"/>
      <c r="M443" s="51"/>
      <c r="N443" s="51"/>
      <c r="O443" s="51"/>
      <c r="P443" s="51"/>
    </row>
    <row r="444" spans="8:16" ht="15" x14ac:dyDescent="0.25">
      <c r="H444" s="50"/>
      <c r="I444" s="50"/>
      <c r="J444" s="50"/>
      <c r="K444" s="51"/>
      <c r="L444" s="51"/>
      <c r="M444" s="51"/>
      <c r="N444" s="51"/>
      <c r="O444" s="51"/>
      <c r="P444" s="51"/>
    </row>
    <row r="445" spans="8:16" ht="15" x14ac:dyDescent="0.25">
      <c r="H445" s="50"/>
      <c r="I445" s="50"/>
      <c r="J445" s="50"/>
      <c r="K445" s="51"/>
      <c r="L445" s="51"/>
      <c r="M445" s="51"/>
      <c r="N445" s="51"/>
      <c r="O445" s="51"/>
      <c r="P445" s="51"/>
    </row>
    <row r="446" spans="8:16" ht="15" x14ac:dyDescent="0.25">
      <c r="H446" s="50"/>
      <c r="I446" s="50"/>
      <c r="J446" s="50"/>
      <c r="K446" s="51"/>
      <c r="L446" s="51"/>
      <c r="M446" s="51"/>
      <c r="N446" s="51"/>
      <c r="O446" s="51"/>
      <c r="P446" s="51"/>
    </row>
    <row r="447" spans="8:16" ht="15" x14ac:dyDescent="0.25">
      <c r="H447" s="50"/>
      <c r="I447" s="50"/>
      <c r="J447" s="50"/>
      <c r="K447" s="51"/>
      <c r="L447" s="51"/>
      <c r="M447" s="51"/>
      <c r="N447" s="51"/>
      <c r="O447" s="51"/>
      <c r="P447" s="51"/>
    </row>
    <row r="448" spans="8:16" ht="15" x14ac:dyDescent="0.25">
      <c r="H448" s="50"/>
      <c r="I448" s="50"/>
      <c r="J448" s="50"/>
      <c r="K448" s="51"/>
      <c r="L448" s="51"/>
      <c r="M448" s="51"/>
      <c r="N448" s="51"/>
      <c r="O448" s="51"/>
      <c r="P448" s="51"/>
    </row>
    <row r="449" spans="8:16" ht="15" x14ac:dyDescent="0.25">
      <c r="H449" s="50"/>
      <c r="I449" s="50"/>
      <c r="J449" s="50"/>
      <c r="K449" s="51"/>
      <c r="L449" s="51"/>
      <c r="M449" s="51"/>
      <c r="N449" s="51"/>
      <c r="O449" s="51"/>
      <c r="P449" s="51"/>
    </row>
    <row r="450" spans="8:16" ht="15" x14ac:dyDescent="0.25">
      <c r="H450" s="50"/>
      <c r="I450" s="50"/>
      <c r="J450" s="50"/>
      <c r="K450" s="51"/>
      <c r="L450" s="51"/>
      <c r="M450" s="51"/>
      <c r="N450" s="51"/>
      <c r="O450" s="51"/>
      <c r="P450" s="51"/>
    </row>
    <row r="451" spans="8:16" ht="15" x14ac:dyDescent="0.25">
      <c r="H451" s="50"/>
      <c r="I451" s="50"/>
      <c r="J451" s="50"/>
      <c r="K451" s="51"/>
      <c r="L451" s="51"/>
      <c r="M451" s="51"/>
      <c r="N451" s="51"/>
      <c r="O451" s="51"/>
      <c r="P451" s="51"/>
    </row>
    <row r="452" spans="8:16" ht="15" x14ac:dyDescent="0.25">
      <c r="H452" s="50"/>
      <c r="I452" s="50"/>
      <c r="J452" s="50"/>
      <c r="K452" s="51"/>
      <c r="L452" s="51"/>
      <c r="M452" s="51"/>
      <c r="N452" s="51"/>
      <c r="O452" s="51"/>
      <c r="P452" s="51"/>
    </row>
    <row r="453" spans="8:16" ht="15" x14ac:dyDescent="0.25">
      <c r="H453" s="50"/>
      <c r="I453" s="50"/>
      <c r="J453" s="50"/>
      <c r="K453" s="51"/>
      <c r="L453" s="51"/>
      <c r="M453" s="51"/>
      <c r="N453" s="51"/>
      <c r="O453" s="51"/>
      <c r="P453" s="51"/>
    </row>
    <row r="454" spans="8:16" ht="15" x14ac:dyDescent="0.25">
      <c r="H454" s="50"/>
      <c r="I454" s="50"/>
      <c r="J454" s="50"/>
      <c r="K454" s="51"/>
      <c r="L454" s="51"/>
      <c r="M454" s="51"/>
      <c r="N454" s="51"/>
      <c r="O454" s="51"/>
      <c r="P454" s="51"/>
    </row>
    <row r="455" spans="8:16" ht="15" x14ac:dyDescent="0.25">
      <c r="H455" s="50"/>
      <c r="I455" s="50"/>
      <c r="J455" s="50"/>
      <c r="K455" s="51"/>
      <c r="L455" s="51"/>
      <c r="M455" s="51"/>
      <c r="N455" s="51"/>
      <c r="O455" s="51"/>
      <c r="P455" s="51"/>
    </row>
    <row r="456" spans="8:16" ht="15" x14ac:dyDescent="0.25">
      <c r="H456" s="50"/>
      <c r="I456" s="50"/>
      <c r="J456" s="50"/>
      <c r="K456" s="51"/>
      <c r="L456" s="51"/>
      <c r="M456" s="51"/>
      <c r="N456" s="51"/>
      <c r="O456" s="51"/>
      <c r="P456" s="51"/>
    </row>
    <row r="457" spans="8:16" ht="15" x14ac:dyDescent="0.25">
      <c r="H457" s="50"/>
      <c r="I457" s="50"/>
      <c r="J457" s="50"/>
      <c r="K457" s="51"/>
      <c r="L457" s="51"/>
      <c r="M457" s="51"/>
      <c r="N457" s="51"/>
      <c r="O457" s="51"/>
      <c r="P457" s="51"/>
    </row>
    <row r="458" spans="8:16" ht="15" x14ac:dyDescent="0.25">
      <c r="H458" s="50"/>
      <c r="I458" s="50"/>
      <c r="J458" s="50"/>
      <c r="K458" s="51"/>
      <c r="L458" s="51"/>
      <c r="M458" s="51"/>
      <c r="N458" s="51"/>
      <c r="O458" s="51"/>
      <c r="P458" s="51"/>
    </row>
    <row r="459" spans="8:16" ht="15" x14ac:dyDescent="0.25">
      <c r="H459" s="50"/>
      <c r="I459" s="50"/>
      <c r="J459" s="50"/>
      <c r="K459" s="51"/>
      <c r="L459" s="51"/>
      <c r="M459" s="51"/>
      <c r="N459" s="51"/>
      <c r="O459" s="51"/>
      <c r="P459" s="51"/>
    </row>
    <row r="460" spans="8:16" ht="15" x14ac:dyDescent="0.25">
      <c r="H460" s="50"/>
      <c r="I460" s="50"/>
      <c r="J460" s="50"/>
      <c r="K460" s="51"/>
      <c r="L460" s="51"/>
      <c r="M460" s="51"/>
      <c r="N460" s="51"/>
      <c r="O460" s="51"/>
      <c r="P460" s="51"/>
    </row>
    <row r="461" spans="8:16" ht="15" x14ac:dyDescent="0.25">
      <c r="H461" s="50"/>
      <c r="I461" s="50"/>
      <c r="J461" s="50"/>
      <c r="K461" s="51"/>
      <c r="L461" s="51"/>
      <c r="M461" s="51"/>
      <c r="N461" s="51"/>
      <c r="O461" s="51"/>
      <c r="P461" s="51"/>
    </row>
    <row r="462" spans="8:16" ht="15" x14ac:dyDescent="0.25">
      <c r="H462" s="50"/>
      <c r="I462" s="50"/>
      <c r="J462" s="50"/>
      <c r="K462" s="51"/>
      <c r="L462" s="51"/>
      <c r="M462" s="51"/>
      <c r="N462" s="51"/>
      <c r="O462" s="51"/>
      <c r="P462" s="51"/>
    </row>
    <row r="463" spans="8:16" ht="15" x14ac:dyDescent="0.25">
      <c r="H463" s="50"/>
      <c r="I463" s="50"/>
      <c r="J463" s="50"/>
      <c r="K463" s="51"/>
      <c r="L463" s="51"/>
      <c r="M463" s="51"/>
      <c r="N463" s="51"/>
      <c r="O463" s="51"/>
      <c r="P463" s="51"/>
    </row>
    <row r="464" spans="8:16" ht="15" x14ac:dyDescent="0.25">
      <c r="H464" s="50"/>
      <c r="I464" s="50"/>
      <c r="J464" s="50"/>
      <c r="K464" s="51"/>
      <c r="L464" s="51"/>
      <c r="M464" s="51"/>
      <c r="N464" s="51"/>
      <c r="O464" s="51"/>
      <c r="P464" s="51"/>
    </row>
  </sheetData>
  <mergeCells count="27">
    <mergeCell ref="U65:U66"/>
    <mergeCell ref="V65:W66"/>
    <mergeCell ref="T88:U88"/>
    <mergeCell ref="C8:M9"/>
    <mergeCell ref="E40:F41"/>
    <mergeCell ref="S40:AA41"/>
    <mergeCell ref="S43:U44"/>
    <mergeCell ref="S49:T50"/>
    <mergeCell ref="V57:V58"/>
    <mergeCell ref="W57:W58"/>
    <mergeCell ref="Z57:Z58"/>
    <mergeCell ref="AA32:AA34"/>
    <mergeCell ref="W33:X34"/>
    <mergeCell ref="W36:X36"/>
    <mergeCell ref="Z36:Z38"/>
    <mergeCell ref="AA36:AA38"/>
    <mergeCell ref="W37:X38"/>
    <mergeCell ref="C16:D17"/>
    <mergeCell ref="S20:U21"/>
    <mergeCell ref="S27:T28"/>
    <mergeCell ref="W30:X31"/>
    <mergeCell ref="W32:X32"/>
    <mergeCell ref="B3:K3"/>
    <mergeCell ref="B4:K4"/>
    <mergeCell ref="Z32:Z34"/>
    <mergeCell ref="H12:P12"/>
    <mergeCell ref="S14:AA15"/>
  </mergeCells>
  <conditionalFormatting sqref="L18:L317">
    <cfRule type="dataBar" priority="6">
      <dataBar>
        <cfvo type="min"/>
        <cfvo type="max"/>
        <color rgb="FFFF555A"/>
      </dataBar>
    </cfRule>
  </conditionalFormatting>
  <conditionalFormatting sqref="L18:L317">
    <cfRule type="dataBar" priority="5">
      <dataBar>
        <cfvo type="min"/>
        <cfvo type="max"/>
        <color theme="5" tint="0.59999389629810485"/>
      </dataBar>
    </cfRule>
  </conditionalFormatting>
  <conditionalFormatting sqref="L18:L317">
    <cfRule type="dataBar" priority="4">
      <dataBar>
        <cfvo type="min"/>
        <cfvo type="max"/>
        <color theme="5" tint="0.39997558519241921"/>
      </dataBar>
    </cfRule>
  </conditionalFormatting>
  <conditionalFormatting sqref="M18:M317">
    <cfRule type="dataBar" priority="3">
      <dataBar>
        <cfvo type="min"/>
        <cfvo type="max"/>
        <color rgb="FF63C384"/>
      </dataBar>
    </cfRule>
  </conditionalFormatting>
  <conditionalFormatting sqref="M18:M317">
    <cfRule type="dataBar" priority="2">
      <dataBar>
        <cfvo type="min"/>
        <cfvo type="formula" val="$M$18&gt;$M$17"/>
        <color rgb="FF638EC6"/>
      </dataBar>
    </cfRule>
  </conditionalFormatting>
  <dataValidations count="4">
    <dataValidation type="list" allowBlank="1" showInputMessage="1" showErrorMessage="1" sqref="D21">
      <formula1>$C$64:$C$65</formula1>
    </dataValidation>
    <dataValidation type="list" allowBlank="1" showInputMessage="1" showErrorMessage="1" sqref="D19">
      <formula1>$C$48:$C$62</formula1>
    </dataValidation>
    <dataValidation type="list" allowBlank="1" showInputMessage="1" showErrorMessage="1" sqref="D20">
      <formula1>$C$48:$C$55</formula1>
    </dataValidation>
    <dataValidation type="list" allowBlank="1" showInputMessage="1" showErrorMessage="1" sqref="D23">
      <formula1>$C$67:$C$73</formula1>
    </dataValidation>
  </dataValidations>
  <hyperlinks>
    <hyperlink ref="C5" location="Índice!A1" display="Regresar"/>
  </hyperlinks>
  <pageMargins left="0.75" right="0.75" top="1" bottom="1" header="0" footer="0"/>
  <pageSetup paperSize="9" orientation="portrait" r:id="rId1"/>
  <headerFooter alignWithMargins="0"/>
  <drawing r:id="rId2"/>
  <legacyDrawing r:id="rId3"/>
  <oleObjects>
    <mc:AlternateContent xmlns:mc="http://schemas.openxmlformats.org/markup-compatibility/2006">
      <mc:Choice Requires="x14">
        <oleObject progId="Equation.3" shapeId="7169" r:id="rId4">
          <objectPr defaultSize="0" autoPict="0" r:id="rId5">
            <anchor moveWithCells="1">
              <from>
                <xdr:col>21</xdr:col>
                <xdr:colOff>219075</xdr:colOff>
                <xdr:row>17</xdr:row>
                <xdr:rowOff>161925</xdr:rowOff>
              </from>
              <to>
                <xdr:col>25</xdr:col>
                <xdr:colOff>676275</xdr:colOff>
                <xdr:row>23</xdr:row>
                <xdr:rowOff>28575</xdr:rowOff>
              </to>
            </anchor>
          </objectPr>
        </oleObject>
      </mc:Choice>
      <mc:Fallback>
        <oleObject progId="Equation.3" shapeId="7169" r:id="rId4"/>
      </mc:Fallback>
    </mc:AlternateContent>
  </oleObjec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A464"/>
  <sheetViews>
    <sheetView showGridLines="0" showRowColHeaders="0" topLeftCell="A7" zoomScale="75" workbookViewId="0">
      <selection activeCell="H1" sqref="H1"/>
    </sheetView>
  </sheetViews>
  <sheetFormatPr baseColWidth="10" defaultRowHeight="12.75" x14ac:dyDescent="0.2"/>
  <cols>
    <col min="1" max="2" width="4.7109375" style="41" customWidth="1"/>
    <col min="3" max="3" width="29.42578125" style="41" customWidth="1"/>
    <col min="4" max="4" width="24.5703125" style="41" customWidth="1"/>
    <col min="5" max="5" width="18.5703125" style="41" customWidth="1"/>
    <col min="6" max="6" width="14.140625" style="41" bestFit="1" customWidth="1"/>
    <col min="7" max="7" width="14.140625" style="41" customWidth="1"/>
    <col min="8" max="9" width="19.28515625" style="45" customWidth="1"/>
    <col min="10" max="10" width="22.7109375" style="45" customWidth="1"/>
    <col min="11" max="11" width="13.85546875" style="41" customWidth="1"/>
    <col min="12" max="12" width="14" style="41" customWidth="1"/>
    <col min="13" max="13" width="15.140625" style="41" customWidth="1"/>
    <col min="14" max="14" width="14" style="41" customWidth="1"/>
    <col min="15" max="15" width="6.85546875" style="41" customWidth="1"/>
    <col min="16" max="16" width="13.7109375" style="41" customWidth="1"/>
    <col min="17" max="19" width="11.42578125" style="41"/>
    <col min="20" max="21" width="12.140625" style="41" bestFit="1" customWidth="1"/>
    <col min="22" max="22" width="7.5703125" style="41" bestFit="1" customWidth="1"/>
    <col min="23" max="23" width="11.85546875" style="41" bestFit="1" customWidth="1"/>
    <col min="24" max="24" width="12.140625" style="41" bestFit="1" customWidth="1"/>
    <col min="25" max="25" width="6.42578125" style="41" customWidth="1"/>
    <col min="26" max="16384" width="11.42578125" style="41"/>
  </cols>
  <sheetData>
    <row r="1" spans="1:27" s="39" customFormat="1" ht="77.25" customHeight="1" x14ac:dyDescent="0.4">
      <c r="A1" s="38"/>
      <c r="B1" s="38"/>
      <c r="C1" s="38"/>
      <c r="D1" s="38"/>
      <c r="E1" s="130"/>
      <c r="F1" s="130"/>
      <c r="G1" s="130"/>
      <c r="H1" s="130"/>
      <c r="I1" s="130"/>
      <c r="J1" s="130"/>
      <c r="K1" s="130"/>
      <c r="L1" s="130"/>
      <c r="M1" s="130"/>
      <c r="N1" s="130"/>
      <c r="O1" s="130"/>
      <c r="P1" s="130"/>
      <c r="Q1" s="130"/>
      <c r="R1" s="130"/>
    </row>
    <row r="2" spans="1:27" ht="21" x14ac:dyDescent="0.35">
      <c r="A2" s="38"/>
      <c r="B2" s="38"/>
      <c r="C2" s="38"/>
      <c r="D2" s="38"/>
      <c r="E2" s="40"/>
      <c r="F2" s="40"/>
      <c r="G2" s="40"/>
      <c r="H2" s="40"/>
      <c r="I2" s="40"/>
      <c r="J2" s="40"/>
      <c r="K2" s="40"/>
      <c r="L2" s="40"/>
      <c r="M2" s="40"/>
      <c r="N2" s="40"/>
      <c r="O2" s="40"/>
      <c r="P2" s="40"/>
      <c r="Q2" s="40"/>
      <c r="R2" s="40"/>
    </row>
    <row r="3" spans="1:27" ht="28.5" x14ac:dyDescent="0.2">
      <c r="B3" s="161" t="s">
        <v>45</v>
      </c>
      <c r="C3" s="161"/>
      <c r="D3" s="161"/>
      <c r="E3" s="161"/>
      <c r="F3" s="161"/>
      <c r="G3" s="161"/>
      <c r="H3" s="161"/>
      <c r="I3" s="161"/>
      <c r="J3" s="161"/>
      <c r="K3" s="161"/>
      <c r="L3" s="148"/>
      <c r="M3" s="148"/>
      <c r="N3" s="148"/>
      <c r="O3" s="148"/>
      <c r="P3" s="148"/>
      <c r="Q3" s="42"/>
    </row>
    <row r="4" spans="1:27" ht="21" x14ac:dyDescent="0.2">
      <c r="B4" s="162" t="s">
        <v>64</v>
      </c>
      <c r="C4" s="162"/>
      <c r="D4" s="162"/>
      <c r="E4" s="162"/>
      <c r="F4" s="162"/>
      <c r="G4" s="162"/>
      <c r="H4" s="162"/>
      <c r="I4" s="162"/>
      <c r="J4" s="162"/>
      <c r="K4" s="162"/>
      <c r="L4" s="43"/>
      <c r="M4" s="43"/>
      <c r="N4" s="43"/>
      <c r="O4" s="43"/>
      <c r="P4" s="43"/>
      <c r="Q4" s="43"/>
    </row>
    <row r="5" spans="1:27" ht="21.75" customHeight="1" x14ac:dyDescent="0.2">
      <c r="C5" s="44" t="s">
        <v>65</v>
      </c>
    </row>
    <row r="7" spans="1:27" ht="13.5" thickBot="1" x14ac:dyDescent="0.25"/>
    <row r="8" spans="1:27" ht="36.75" customHeight="1" x14ac:dyDescent="0.2">
      <c r="C8" s="193" t="s">
        <v>112</v>
      </c>
      <c r="D8" s="194"/>
      <c r="E8" s="194"/>
      <c r="F8" s="194"/>
      <c r="G8" s="194"/>
      <c r="H8" s="194"/>
      <c r="I8" s="194"/>
      <c r="J8" s="194"/>
      <c r="K8" s="194"/>
      <c r="L8" s="194"/>
      <c r="M8" s="195"/>
    </row>
    <row r="9" spans="1:27" ht="36.75" customHeight="1" thickBot="1" x14ac:dyDescent="0.25">
      <c r="C9" s="196"/>
      <c r="D9" s="197"/>
      <c r="E9" s="197"/>
      <c r="F9" s="197"/>
      <c r="G9" s="197"/>
      <c r="H9" s="197"/>
      <c r="I9" s="197"/>
      <c r="J9" s="197"/>
      <c r="K9" s="197"/>
      <c r="L9" s="197"/>
      <c r="M9" s="198"/>
    </row>
    <row r="12" spans="1:27" ht="21" x14ac:dyDescent="0.35">
      <c r="H12" s="178" t="str">
        <f>CONCATENATE("Tablas de amortización"," ",credito)</f>
        <v>Tablas de amortización Francesa</v>
      </c>
      <c r="I12" s="178"/>
      <c r="J12" s="178"/>
      <c r="K12" s="178"/>
      <c r="L12" s="178"/>
      <c r="M12" s="178"/>
      <c r="N12" s="178"/>
      <c r="O12" s="178"/>
      <c r="P12" s="178"/>
    </row>
    <row r="13" spans="1:27" ht="21.75" thickBot="1" x14ac:dyDescent="0.4">
      <c r="H13" s="102"/>
      <c r="I13" s="102"/>
      <c r="J13" s="102"/>
      <c r="K13" s="102"/>
      <c r="L13" s="102"/>
      <c r="M13" s="102"/>
      <c r="N13" s="102"/>
      <c r="O13" s="102"/>
      <c r="P13" s="102"/>
    </row>
    <row r="14" spans="1:27" ht="30" x14ac:dyDescent="0.35">
      <c r="H14" s="91"/>
      <c r="I14" s="91"/>
      <c r="J14" s="91"/>
      <c r="K14" s="104" t="s">
        <v>83</v>
      </c>
      <c r="L14" s="104" t="s">
        <v>84</v>
      </c>
      <c r="M14" s="104" t="s">
        <v>85</v>
      </c>
      <c r="N14" s="91"/>
      <c r="O14" s="91"/>
      <c r="P14" s="91"/>
      <c r="S14" s="151" t="s">
        <v>91</v>
      </c>
      <c r="T14" s="151"/>
      <c r="U14" s="151"/>
      <c r="V14" s="151"/>
      <c r="W14" s="151"/>
      <c r="X14" s="151"/>
      <c r="Y14" s="151"/>
      <c r="Z14" s="151"/>
      <c r="AA14" s="151"/>
    </row>
    <row r="15" spans="1:27" ht="21.75" thickBot="1" x14ac:dyDescent="0.4">
      <c r="H15" s="90"/>
      <c r="I15" s="90"/>
      <c r="J15" s="90"/>
      <c r="K15" s="103">
        <f>SUM(K18:K317)</f>
        <v>8429.9927212800085</v>
      </c>
      <c r="L15" s="103">
        <f>SUM(L18:L317)</f>
        <v>929.99272128000553</v>
      </c>
      <c r="M15" s="103">
        <f>K15-L15</f>
        <v>7500.0000000000027</v>
      </c>
      <c r="O15" s="91"/>
      <c r="P15" s="91"/>
      <c r="S15" s="152"/>
      <c r="T15" s="152"/>
      <c r="U15" s="152"/>
      <c r="V15" s="152"/>
      <c r="W15" s="152"/>
      <c r="X15" s="152"/>
      <c r="Y15" s="152"/>
      <c r="Z15" s="152"/>
      <c r="AA15" s="152"/>
    </row>
    <row r="16" spans="1:27" ht="15.75" customHeight="1" thickBot="1" x14ac:dyDescent="0.3">
      <c r="C16" s="170" t="s">
        <v>46</v>
      </c>
      <c r="D16" s="171"/>
      <c r="E16" s="46"/>
      <c r="F16" s="46"/>
      <c r="G16" s="46"/>
      <c r="H16" s="47" t="s">
        <v>5</v>
      </c>
      <c r="I16" s="48" t="s">
        <v>106</v>
      </c>
      <c r="J16" s="48" t="s">
        <v>107</v>
      </c>
      <c r="K16" s="48" t="s">
        <v>3</v>
      </c>
      <c r="L16" s="48" t="s">
        <v>6</v>
      </c>
      <c r="M16" s="48" t="s">
        <v>7</v>
      </c>
      <c r="N16" s="136" t="s">
        <v>8</v>
      </c>
      <c r="O16" s="135"/>
      <c r="P16" s="137" t="s">
        <v>10</v>
      </c>
      <c r="Q16" s="118"/>
    </row>
    <row r="17" spans="1:27" ht="15.75" thickBot="1" x14ac:dyDescent="0.3">
      <c r="C17" s="172"/>
      <c r="D17" s="173"/>
      <c r="E17" s="46"/>
      <c r="F17" s="46"/>
      <c r="G17" s="46"/>
      <c r="H17" s="50">
        <v>0</v>
      </c>
      <c r="I17" s="51">
        <f>+N17*D37</f>
        <v>1500</v>
      </c>
      <c r="J17" s="50"/>
      <c r="K17" s="51"/>
      <c r="L17" s="51"/>
      <c r="M17" s="51"/>
      <c r="N17" s="51">
        <f>+D26</f>
        <v>7500</v>
      </c>
      <c r="O17" s="51"/>
      <c r="P17" s="51">
        <f>+N17-I17</f>
        <v>6000</v>
      </c>
      <c r="S17" s="52" t="s">
        <v>56</v>
      </c>
      <c r="T17" s="53"/>
      <c r="U17" s="54">
        <f>+D33</f>
        <v>12</v>
      </c>
    </row>
    <row r="18" spans="1:27" ht="15" x14ac:dyDescent="0.25">
      <c r="C18" s="49"/>
      <c r="D18" s="55"/>
      <c r="E18" s="46"/>
      <c r="F18" s="46"/>
      <c r="G18" s="46"/>
      <c r="H18" s="56">
        <v>1</v>
      </c>
      <c r="I18" s="57">
        <f>IF(H18&lt;=$U$17,N18*$D$37," ")</f>
        <v>1387.1876213119999</v>
      </c>
      <c r="J18" s="57">
        <f t="shared" ref="J18:J81" si="0">IFERROR(IF(I18&lt;&gt;0,(I17-I18+(I17*$D$35*30/360))," ")," ")</f>
        <v>117.81237868800008</v>
      </c>
      <c r="K18" s="57">
        <f>IF(credito="Francesa",-PMT(D28/$D$24,$U$17,D26,0),IF(credito="Alemana",L18+M18))</f>
        <v>702.49939344000052</v>
      </c>
      <c r="L18" s="105">
        <f>N17*$D$28/$D$24</f>
        <v>138.4375</v>
      </c>
      <c r="M18" s="105">
        <f>IF(H18&lt;=$U$17,IF(credito="Francesa",K18-L18,IF(credito="Alemana",N17/$U$17))," ")</f>
        <v>564.06189344000052</v>
      </c>
      <c r="N18" s="57">
        <f>IF(H18&lt;=$U$17,N17-M18," ")</f>
        <v>6935.9381065599991</v>
      </c>
      <c r="O18" s="51"/>
      <c r="P18" s="57">
        <f>IFERROR(SUM(IF(H18&lt;=$U$17,-K18," "),J18)," ")</f>
        <v>-584.68701475200044</v>
      </c>
    </row>
    <row r="19" spans="1:27" ht="15" x14ac:dyDescent="0.25">
      <c r="C19" s="80" t="s">
        <v>48</v>
      </c>
      <c r="D19" s="81" t="s">
        <v>51</v>
      </c>
      <c r="E19" s="46"/>
      <c r="F19" s="46"/>
      <c r="G19" s="46"/>
      <c r="H19" s="50">
        <f>IF($H18&gt;=$U$17," ",H18+1)</f>
        <v>2</v>
      </c>
      <c r="I19" s="51">
        <f t="shared" ref="I19:I82" si="1">IF(H19&lt;=$U$17,N19*$D$37," ")</f>
        <v>1272.2929141340505</v>
      </c>
      <c r="J19" s="51">
        <f t="shared" si="0"/>
        <v>119.51866591565606</v>
      </c>
      <c r="K19" s="51">
        <f t="shared" ref="K19:K82" si="2">IF(H18&lt;=$U$17,IF(credito="Francesa",IF(H19&lt;=$U$17,$K18,0),IF(credito="Alemana",IF(H19&lt;=$U$17,L19+M19,0))),"")</f>
        <v>702.49939344000052</v>
      </c>
      <c r="L19" s="106">
        <f>IF(H19&lt;=$U$17,N18*$D$28/$D$24," ")</f>
        <v>128.02585755025333</v>
      </c>
      <c r="M19" s="106">
        <f t="shared" ref="M19:M82" si="3">IF(H19&lt;=$U$17,IF(credito="Francesa",K19-L19,IF(credito="Alemana",IF(H19&lt;=$U$17,$M18,0)))," ")</f>
        <v>574.47353588974715</v>
      </c>
      <c r="N19" s="51">
        <f t="shared" ref="N19:N82" si="4">IF(H19&lt;=$U$17,N18-M19," ")</f>
        <v>6361.4645706702522</v>
      </c>
      <c r="O19" s="51"/>
      <c r="P19" s="51">
        <f t="shared" ref="P19:P82" si="5">IFERROR(SUM(IF(H19&lt;=$U$17,-K19," "),J19)," ")</f>
        <v>-582.9807275243445</v>
      </c>
    </row>
    <row r="20" spans="1:27" ht="15" x14ac:dyDescent="0.25">
      <c r="C20" s="58"/>
      <c r="D20" s="55"/>
      <c r="E20" s="46"/>
      <c r="F20" s="46"/>
      <c r="G20" s="46"/>
      <c r="H20" s="50">
        <f t="shared" ref="H20:H83" si="6">IF($H19&gt;=$U$17," ",H19+1)</f>
        <v>3</v>
      </c>
      <c r="I20" s="51">
        <f t="shared" si="1"/>
        <v>1155.2774421527747</v>
      </c>
      <c r="J20" s="51">
        <f t="shared" si="0"/>
        <v>121.25644836172266</v>
      </c>
      <c r="K20" s="51">
        <f t="shared" si="2"/>
        <v>702.49939344000052</v>
      </c>
      <c r="L20" s="106">
        <f t="shared" ref="L20:L83" si="7">IF(H20&lt;=$U$17,N19*$D$28/$D$24," ")</f>
        <v>117.42203353362174</v>
      </c>
      <c r="M20" s="106">
        <f t="shared" si="3"/>
        <v>585.07735990637877</v>
      </c>
      <c r="N20" s="51">
        <f t="shared" si="4"/>
        <v>5776.3872107638736</v>
      </c>
      <c r="O20" s="51"/>
      <c r="P20" s="51">
        <f t="shared" si="5"/>
        <v>-581.2429450782779</v>
      </c>
      <c r="S20" s="163" t="s">
        <v>86</v>
      </c>
      <c r="T20" s="163"/>
      <c r="U20" s="163"/>
    </row>
    <row r="21" spans="1:27" ht="15" x14ac:dyDescent="0.25">
      <c r="C21" s="80" t="s">
        <v>75</v>
      </c>
      <c r="D21" s="81" t="s">
        <v>63</v>
      </c>
      <c r="E21" s="46"/>
      <c r="F21" s="46"/>
      <c r="G21" s="46"/>
      <c r="H21" s="50">
        <f t="shared" si="6"/>
        <v>4</v>
      </c>
      <c r="I21" s="51">
        <f t="shared" si="1"/>
        <v>1036.1020595845112</v>
      </c>
      <c r="J21" s="51">
        <f t="shared" si="0"/>
        <v>123.02630737543947</v>
      </c>
      <c r="K21" s="51">
        <f t="shared" si="2"/>
        <v>702.49939344000052</v>
      </c>
      <c r="L21" s="106">
        <f t="shared" si="7"/>
        <v>106.62248059868317</v>
      </c>
      <c r="M21" s="106">
        <f t="shared" si="3"/>
        <v>595.87691284131733</v>
      </c>
      <c r="N21" s="51">
        <f t="shared" si="4"/>
        <v>5180.5102979225558</v>
      </c>
      <c r="O21" s="51"/>
      <c r="P21" s="51">
        <f t="shared" si="5"/>
        <v>-579.47308606456102</v>
      </c>
      <c r="R21" s="62"/>
      <c r="S21" s="163"/>
      <c r="T21" s="163"/>
      <c r="U21" s="163"/>
    </row>
    <row r="22" spans="1:27" s="62" customFormat="1" ht="15" x14ac:dyDescent="0.25">
      <c r="A22" s="41"/>
      <c r="B22" s="41"/>
      <c r="C22" s="58"/>
      <c r="D22" s="55"/>
      <c r="E22" s="46"/>
      <c r="F22" s="46"/>
      <c r="G22" s="46"/>
      <c r="H22" s="50">
        <f t="shared" si="6"/>
        <v>5</v>
      </c>
      <c r="I22" s="51">
        <f t="shared" si="1"/>
        <v>914.72689807967515</v>
      </c>
      <c r="J22" s="51">
        <f t="shared" si="0"/>
        <v>124.82883503678437</v>
      </c>
      <c r="K22" s="51">
        <f t="shared" si="2"/>
        <v>702.49939344000052</v>
      </c>
      <c r="L22" s="106">
        <f t="shared" si="7"/>
        <v>95.623585915820513</v>
      </c>
      <c r="M22" s="106">
        <f t="shared" si="3"/>
        <v>606.87580752418</v>
      </c>
      <c r="N22" s="51">
        <f t="shared" si="4"/>
        <v>4573.6344903983754</v>
      </c>
      <c r="O22" s="51"/>
      <c r="P22" s="51">
        <f t="shared" si="5"/>
        <v>-577.67055840321609</v>
      </c>
      <c r="Q22" s="41"/>
      <c r="R22" s="41"/>
      <c r="S22" s="41"/>
    </row>
    <row r="23" spans="1:27" ht="15" x14ac:dyDescent="0.25">
      <c r="C23" s="80" t="s">
        <v>1</v>
      </c>
      <c r="D23" s="81" t="s">
        <v>77</v>
      </c>
      <c r="E23" s="46"/>
      <c r="F23" s="46"/>
      <c r="G23" s="46"/>
      <c r="H23" s="50">
        <f t="shared" si="6"/>
        <v>6</v>
      </c>
      <c r="I23" s="51">
        <f t="shared" si="1"/>
        <v>791.11135338539577</v>
      </c>
      <c r="J23" s="51">
        <f t="shared" si="0"/>
        <v>126.66463435454496</v>
      </c>
      <c r="K23" s="51">
        <f t="shared" si="2"/>
        <v>702.49939344000052</v>
      </c>
      <c r="L23" s="106">
        <f t="shared" si="7"/>
        <v>84.421669968603354</v>
      </c>
      <c r="M23" s="106">
        <f t="shared" si="3"/>
        <v>618.07772347139712</v>
      </c>
      <c r="N23" s="51">
        <f t="shared" si="4"/>
        <v>3955.5567669269785</v>
      </c>
      <c r="O23" s="51"/>
      <c r="P23" s="51">
        <f t="shared" si="5"/>
        <v>-575.83475908545552</v>
      </c>
      <c r="R23" s="67"/>
      <c r="S23" s="67"/>
    </row>
    <row r="24" spans="1:27" s="67" customFormat="1" ht="15" x14ac:dyDescent="0.25">
      <c r="A24" s="41"/>
      <c r="B24" s="41"/>
      <c r="C24" s="80"/>
      <c r="D24" s="81">
        <f>IF(D23="Anual",1,IF(D23="Semestral",2,IF(D23="Cuatrimestral",3,IF(D23="Trimestral",4,IF(D23="Bimensual",6,IF(D23="Mensual",12,IF(D23="Quincenal",24)))))))</f>
        <v>12</v>
      </c>
      <c r="E24" s="46"/>
      <c r="F24" s="46"/>
      <c r="G24" s="46"/>
      <c r="H24" s="50">
        <f t="shared" si="6"/>
        <v>7</v>
      </c>
      <c r="I24" s="51">
        <f t="shared" si="1"/>
        <v>665.21407176196772</v>
      </c>
      <c r="J24" s="51">
        <f t="shared" si="0"/>
        <v>128.53431946804605</v>
      </c>
      <c r="K24" s="51">
        <f t="shared" si="2"/>
        <v>702.49939344000052</v>
      </c>
      <c r="L24" s="106">
        <f t="shared" si="7"/>
        <v>73.012985322860473</v>
      </c>
      <c r="M24" s="106">
        <f t="shared" si="3"/>
        <v>629.48640811714006</v>
      </c>
      <c r="N24" s="51">
        <f t="shared" si="4"/>
        <v>3326.0703588098386</v>
      </c>
      <c r="O24" s="51"/>
      <c r="P24" s="51">
        <f t="shared" si="5"/>
        <v>-573.96507397195444</v>
      </c>
      <c r="Q24" s="41"/>
    </row>
    <row r="25" spans="1:27" s="67" customFormat="1" ht="15" x14ac:dyDescent="0.25">
      <c r="A25" s="41"/>
      <c r="B25" s="41"/>
      <c r="C25" s="58"/>
      <c r="D25" s="55"/>
      <c r="E25" s="46"/>
      <c r="F25" s="46"/>
      <c r="G25" s="46"/>
      <c r="H25" s="50">
        <f t="shared" si="6"/>
        <v>8</v>
      </c>
      <c r="I25" s="51">
        <f t="shared" si="1"/>
        <v>536.99293614857402</v>
      </c>
      <c r="J25" s="51">
        <f t="shared" si="0"/>
        <v>130.43851585260026</v>
      </c>
      <c r="K25" s="51">
        <f t="shared" si="2"/>
        <v>702.49939344000052</v>
      </c>
      <c r="L25" s="106">
        <f t="shared" si="7"/>
        <v>61.393715373031604</v>
      </c>
      <c r="M25" s="106">
        <f t="shared" si="3"/>
        <v>641.10567806696895</v>
      </c>
      <c r="N25" s="51">
        <f t="shared" si="4"/>
        <v>2684.9646807428699</v>
      </c>
      <c r="O25" s="51"/>
      <c r="P25" s="51">
        <f t="shared" si="5"/>
        <v>-572.06087758740023</v>
      </c>
      <c r="Q25" s="41"/>
    </row>
    <row r="26" spans="1:27" s="67" customFormat="1" ht="15" x14ac:dyDescent="0.25">
      <c r="A26" s="41"/>
      <c r="B26" s="41"/>
      <c r="C26" s="96" t="s">
        <v>26</v>
      </c>
      <c r="D26" s="97">
        <v>7500</v>
      </c>
      <c r="E26" s="46"/>
      <c r="F26" s="46"/>
      <c r="G26" s="46"/>
      <c r="H26" s="50">
        <f t="shared" si="6"/>
        <v>9</v>
      </c>
      <c r="I26" s="51">
        <f t="shared" si="1"/>
        <v>406.40505207364964</v>
      </c>
      <c r="J26" s="51">
        <f t="shared" si="0"/>
        <v>132.37786052875296</v>
      </c>
      <c r="K26" s="51">
        <f t="shared" si="2"/>
        <v>702.49939344000052</v>
      </c>
      <c r="L26" s="106">
        <f t="shared" si="7"/>
        <v>49.559973065378806</v>
      </c>
      <c r="M26" s="106">
        <f t="shared" si="3"/>
        <v>652.9394203746217</v>
      </c>
      <c r="N26" s="51">
        <f t="shared" si="4"/>
        <v>2032.0252603682482</v>
      </c>
      <c r="O26" s="51"/>
      <c r="P26" s="51">
        <f t="shared" si="5"/>
        <v>-570.12153291124753</v>
      </c>
      <c r="Q26" s="41"/>
      <c r="R26" s="41"/>
      <c r="S26" s="41"/>
    </row>
    <row r="27" spans="1:27" ht="15" x14ac:dyDescent="0.25">
      <c r="C27" s="98"/>
      <c r="D27" s="99"/>
      <c r="E27" s="46"/>
      <c r="F27" s="46"/>
      <c r="G27" s="46"/>
      <c r="H27" s="50">
        <f t="shared" si="6"/>
        <v>10</v>
      </c>
      <c r="I27" s="51">
        <f t="shared" si="1"/>
        <v>273.40673330517569</v>
      </c>
      <c r="J27" s="51">
        <f t="shared" si="0"/>
        <v>134.3530022753861</v>
      </c>
      <c r="K27" s="51">
        <f t="shared" si="2"/>
        <v>702.49939344000052</v>
      </c>
      <c r="L27" s="106">
        <f t="shared" si="7"/>
        <v>37.50779959763058</v>
      </c>
      <c r="M27" s="106">
        <f t="shared" si="3"/>
        <v>664.99159384236998</v>
      </c>
      <c r="N27" s="51">
        <f t="shared" si="4"/>
        <v>1367.0336665258783</v>
      </c>
      <c r="O27" s="51"/>
      <c r="P27" s="51">
        <f t="shared" si="5"/>
        <v>-568.14639116461444</v>
      </c>
      <c r="S27" s="164" t="s">
        <v>87</v>
      </c>
      <c r="T27" s="164"/>
    </row>
    <row r="28" spans="1:27" ht="15" x14ac:dyDescent="0.25">
      <c r="C28" s="100" t="s">
        <v>19</v>
      </c>
      <c r="D28" s="101">
        <v>0.2215</v>
      </c>
      <c r="E28" s="46"/>
      <c r="F28" s="46"/>
      <c r="G28" s="46"/>
      <c r="H28" s="50">
        <f t="shared" si="6"/>
        <v>11</v>
      </c>
      <c r="I28" s="51">
        <f t="shared" si="1"/>
        <v>137.95348723610024</v>
      </c>
      <c r="J28" s="51">
        <f t="shared" si="0"/>
        <v>136.36460184675937</v>
      </c>
      <c r="K28" s="51">
        <f t="shared" si="2"/>
        <v>702.49939344000052</v>
      </c>
      <c r="L28" s="106">
        <f t="shared" si="7"/>
        <v>25.233163094623503</v>
      </c>
      <c r="M28" s="106">
        <f t="shared" si="3"/>
        <v>677.26623034537704</v>
      </c>
      <c r="N28" s="51">
        <f t="shared" si="4"/>
        <v>689.76743618050125</v>
      </c>
      <c r="O28" s="51"/>
      <c r="P28" s="51">
        <f t="shared" si="5"/>
        <v>-566.13479159324118</v>
      </c>
      <c r="S28" s="164"/>
      <c r="T28" s="164"/>
    </row>
    <row r="29" spans="1:27" ht="15" x14ac:dyDescent="0.25">
      <c r="C29" s="60"/>
      <c r="D29" s="61"/>
      <c r="E29" s="46"/>
      <c r="F29" s="46"/>
      <c r="G29" s="46"/>
      <c r="H29" s="50">
        <f t="shared" si="6"/>
        <v>12</v>
      </c>
      <c r="I29" s="51">
        <f t="shared" si="1"/>
        <v>-1.5916157281026246E-13</v>
      </c>
      <c r="J29" s="51">
        <f t="shared" si="0"/>
        <v>138.41333219355408</v>
      </c>
      <c r="K29" s="51">
        <f t="shared" si="2"/>
        <v>702.49939344000052</v>
      </c>
      <c r="L29" s="106">
        <f t="shared" si="7"/>
        <v>12.73195725949842</v>
      </c>
      <c r="M29" s="106">
        <f t="shared" si="3"/>
        <v>689.76743618050205</v>
      </c>
      <c r="N29" s="51">
        <f t="shared" si="4"/>
        <v>-7.9580786405131221E-13</v>
      </c>
      <c r="O29" s="51"/>
      <c r="P29" s="51">
        <f t="shared" si="5"/>
        <v>-564.08606124644643</v>
      </c>
    </row>
    <row r="30" spans="1:27" ht="15" x14ac:dyDescent="0.25">
      <c r="A30" s="62"/>
      <c r="B30" s="62"/>
      <c r="C30" s="59" t="s">
        <v>47</v>
      </c>
      <c r="D30" s="84">
        <v>1</v>
      </c>
      <c r="E30" s="65"/>
      <c r="F30" s="65"/>
      <c r="G30" s="65"/>
      <c r="H30" s="50" t="str">
        <f t="shared" si="6"/>
        <v xml:space="preserve"> </v>
      </c>
      <c r="I30" s="51" t="str">
        <f t="shared" si="1"/>
        <v xml:space="preserve"> </v>
      </c>
      <c r="J30" s="51" t="str">
        <f t="shared" si="0"/>
        <v xml:space="preserve"> </v>
      </c>
      <c r="K30" s="51">
        <f t="shared" si="2"/>
        <v>0</v>
      </c>
      <c r="L30" s="106" t="str">
        <f t="shared" si="7"/>
        <v xml:space="preserve"> </v>
      </c>
      <c r="M30" s="106" t="str">
        <f t="shared" si="3"/>
        <v xml:space="preserve"> </v>
      </c>
      <c r="N30" s="51" t="str">
        <f t="shared" si="4"/>
        <v xml:space="preserve"> </v>
      </c>
      <c r="O30" s="51"/>
      <c r="P30" s="51" t="str">
        <f t="shared" si="5"/>
        <v xml:space="preserve"> </v>
      </c>
      <c r="W30" s="165" t="s">
        <v>88</v>
      </c>
      <c r="X30" s="165"/>
    </row>
    <row r="31" spans="1:27" ht="15.75" thickBot="1" x14ac:dyDescent="0.3">
      <c r="C31" s="60" t="s">
        <v>25</v>
      </c>
      <c r="D31" s="66">
        <f>+D30*360</f>
        <v>360</v>
      </c>
      <c r="E31" s="46"/>
      <c r="F31" s="46"/>
      <c r="G31" s="46"/>
      <c r="H31" s="50" t="str">
        <f t="shared" si="6"/>
        <v xml:space="preserve"> </v>
      </c>
      <c r="I31" s="51" t="str">
        <f t="shared" si="1"/>
        <v xml:space="preserve"> </v>
      </c>
      <c r="J31" s="51" t="str">
        <f t="shared" si="0"/>
        <v xml:space="preserve"> </v>
      </c>
      <c r="K31" s="51" t="str">
        <f t="shared" si="2"/>
        <v/>
      </c>
      <c r="L31" s="106" t="str">
        <f t="shared" si="7"/>
        <v xml:space="preserve"> </v>
      </c>
      <c r="M31" s="106" t="str">
        <f t="shared" si="3"/>
        <v xml:space="preserve"> </v>
      </c>
      <c r="N31" s="51" t="str">
        <f t="shared" si="4"/>
        <v xml:space="preserve"> </v>
      </c>
      <c r="O31" s="51"/>
      <c r="P31" s="51" t="str">
        <f t="shared" si="5"/>
        <v xml:space="preserve"> </v>
      </c>
      <c r="W31" s="165"/>
      <c r="X31" s="165"/>
    </row>
    <row r="32" spans="1:27" ht="15" customHeight="1" x14ac:dyDescent="0.25">
      <c r="A32" s="67"/>
      <c r="B32" s="67"/>
      <c r="C32" s="60" t="s">
        <v>57</v>
      </c>
      <c r="D32" s="66">
        <f>IF(D23="Anual",360,IF(D23="Semestral",180,IF(D23="Cuatrimestral",120,IF(D23="Trimestral",90,IF(D23="Bimensual",60,IF(D23="Mensual",30,IF(D23="Quincenal",15)))))))</f>
        <v>30</v>
      </c>
      <c r="E32" s="95"/>
      <c r="F32" s="68"/>
      <c r="G32" s="68"/>
      <c r="H32" s="50" t="str">
        <f t="shared" si="6"/>
        <v xml:space="preserve"> </v>
      </c>
      <c r="I32" s="51" t="str">
        <f t="shared" si="1"/>
        <v xml:space="preserve"> </v>
      </c>
      <c r="J32" s="51" t="str">
        <f t="shared" si="0"/>
        <v xml:space="preserve"> </v>
      </c>
      <c r="K32" s="51" t="str">
        <f t="shared" si="2"/>
        <v/>
      </c>
      <c r="L32" s="106" t="str">
        <f t="shared" si="7"/>
        <v xml:space="preserve"> </v>
      </c>
      <c r="M32" s="106" t="str">
        <f t="shared" si="3"/>
        <v xml:space="preserve"> </v>
      </c>
      <c r="N32" s="51" t="str">
        <f t="shared" si="4"/>
        <v xml:space="preserve"> </v>
      </c>
      <c r="O32" s="51"/>
      <c r="P32" s="51" t="str">
        <f t="shared" si="5"/>
        <v xml:space="preserve"> </v>
      </c>
      <c r="W32" s="188" t="s">
        <v>11</v>
      </c>
      <c r="X32" s="189"/>
      <c r="Z32" s="179" t="s">
        <v>11</v>
      </c>
      <c r="AA32" s="182">
        <f>IRR(P17:P317,)</f>
        <v>2.2239583333332869E-2</v>
      </c>
    </row>
    <row r="33" spans="1:27" ht="15.75" customHeight="1" x14ac:dyDescent="0.25">
      <c r="A33" s="67"/>
      <c r="B33" s="67"/>
      <c r="C33" s="85" t="s">
        <v>58</v>
      </c>
      <c r="D33" s="86">
        <f>IF(D23="Anual",D30*1,IF(D23="Semestral",D30*2,IF(D23="Cuatrimestral",D30*3,IF(D23="Trimestral",D30*4,IF(D23="Bimensual",D30*6,IF(D23="Mensual",D30*12,IF(D23="Quincenal",D30*24)))))))</f>
        <v>12</v>
      </c>
      <c r="E33" s="68"/>
      <c r="F33" s="68"/>
      <c r="G33" s="68"/>
      <c r="H33" s="50" t="str">
        <f t="shared" si="6"/>
        <v xml:space="preserve"> </v>
      </c>
      <c r="I33" s="51" t="str">
        <f t="shared" si="1"/>
        <v xml:space="preserve"> </v>
      </c>
      <c r="J33" s="51" t="str">
        <f t="shared" si="0"/>
        <v xml:space="preserve"> </v>
      </c>
      <c r="K33" s="51" t="str">
        <f t="shared" si="2"/>
        <v/>
      </c>
      <c r="L33" s="106" t="str">
        <f t="shared" si="7"/>
        <v xml:space="preserve"> </v>
      </c>
      <c r="M33" s="106" t="str">
        <f t="shared" si="3"/>
        <v xml:space="preserve"> </v>
      </c>
      <c r="N33" s="51" t="str">
        <f t="shared" si="4"/>
        <v xml:space="preserve"> </v>
      </c>
      <c r="O33" s="51"/>
      <c r="P33" s="51" t="str">
        <f t="shared" si="5"/>
        <v xml:space="preserve"> </v>
      </c>
      <c r="W33" s="166" t="s">
        <v>89</v>
      </c>
      <c r="X33" s="167"/>
      <c r="Z33" s="180"/>
      <c r="AA33" s="183"/>
    </row>
    <row r="34" spans="1:27" ht="15.75" thickBot="1" x14ac:dyDescent="0.3">
      <c r="A34" s="67"/>
      <c r="B34" s="67"/>
      <c r="E34" s="68"/>
      <c r="F34" s="68"/>
      <c r="G34" s="68"/>
      <c r="H34" s="50" t="str">
        <f t="shared" si="6"/>
        <v xml:space="preserve"> </v>
      </c>
      <c r="I34" s="51" t="str">
        <f t="shared" si="1"/>
        <v xml:space="preserve"> </v>
      </c>
      <c r="J34" s="51" t="str">
        <f t="shared" si="0"/>
        <v xml:space="preserve"> </v>
      </c>
      <c r="K34" s="51" t="str">
        <f t="shared" si="2"/>
        <v/>
      </c>
      <c r="L34" s="106" t="str">
        <f t="shared" si="7"/>
        <v xml:space="preserve"> </v>
      </c>
      <c r="M34" s="106" t="str">
        <f t="shared" si="3"/>
        <v xml:space="preserve"> </v>
      </c>
      <c r="N34" s="51" t="str">
        <f t="shared" si="4"/>
        <v xml:space="preserve"> </v>
      </c>
      <c r="O34" s="51"/>
      <c r="P34" s="51" t="str">
        <f t="shared" si="5"/>
        <v xml:space="preserve"> </v>
      </c>
      <c r="W34" s="168"/>
      <c r="X34" s="169"/>
      <c r="Z34" s="181"/>
      <c r="AA34" s="184"/>
    </row>
    <row r="35" spans="1:27" ht="15.75" thickBot="1" x14ac:dyDescent="0.3">
      <c r="C35" s="96" t="s">
        <v>109</v>
      </c>
      <c r="D35" s="138">
        <v>0.04</v>
      </c>
      <c r="E35" s="82"/>
      <c r="F35" s="46"/>
      <c r="G35" s="46"/>
      <c r="H35" s="50" t="str">
        <f t="shared" si="6"/>
        <v xml:space="preserve"> </v>
      </c>
      <c r="I35" s="51" t="str">
        <f t="shared" si="1"/>
        <v xml:space="preserve"> </v>
      </c>
      <c r="J35" s="51" t="str">
        <f t="shared" si="0"/>
        <v xml:space="preserve"> </v>
      </c>
      <c r="K35" s="51" t="str">
        <f t="shared" si="2"/>
        <v/>
      </c>
      <c r="L35" s="106" t="str">
        <f t="shared" si="7"/>
        <v xml:space="preserve"> </v>
      </c>
      <c r="M35" s="106" t="str">
        <f t="shared" si="3"/>
        <v xml:space="preserve"> </v>
      </c>
      <c r="N35" s="51" t="str">
        <f t="shared" si="4"/>
        <v xml:space="preserve"> </v>
      </c>
      <c r="O35" s="51"/>
      <c r="P35" s="51" t="str">
        <f t="shared" si="5"/>
        <v xml:space="preserve"> </v>
      </c>
      <c r="AA35" s="128"/>
    </row>
    <row r="36" spans="1:27" ht="15" customHeight="1" x14ac:dyDescent="0.25">
      <c r="C36" s="69"/>
      <c r="D36" s="70"/>
      <c r="F36" s="46"/>
      <c r="G36" s="46"/>
      <c r="H36" s="50" t="str">
        <f t="shared" si="6"/>
        <v xml:space="preserve"> </v>
      </c>
      <c r="I36" s="51" t="str">
        <f t="shared" si="1"/>
        <v xml:space="preserve"> </v>
      </c>
      <c r="J36" s="51" t="str">
        <f t="shared" si="0"/>
        <v xml:space="preserve"> </v>
      </c>
      <c r="K36" s="51" t="str">
        <f t="shared" si="2"/>
        <v/>
      </c>
      <c r="L36" s="106" t="str">
        <f t="shared" si="7"/>
        <v xml:space="preserve"> </v>
      </c>
      <c r="M36" s="106" t="str">
        <f t="shared" si="3"/>
        <v xml:space="preserve"> </v>
      </c>
      <c r="N36" s="51" t="str">
        <f t="shared" si="4"/>
        <v xml:space="preserve"> </v>
      </c>
      <c r="O36" s="51"/>
      <c r="P36" s="51" t="str">
        <f t="shared" si="5"/>
        <v xml:space="preserve"> </v>
      </c>
      <c r="W36" s="188" t="s">
        <v>12</v>
      </c>
      <c r="X36" s="189"/>
      <c r="Z36" s="179" t="s">
        <v>12</v>
      </c>
      <c r="AA36" s="182">
        <f>+AA32*360/$D$32</f>
        <v>0.26687499999999442</v>
      </c>
    </row>
    <row r="37" spans="1:27" ht="15" customHeight="1" x14ac:dyDescent="0.25">
      <c r="C37" s="96" t="s">
        <v>110</v>
      </c>
      <c r="D37" s="138">
        <v>0.2</v>
      </c>
      <c r="H37" s="50" t="str">
        <f t="shared" si="6"/>
        <v xml:space="preserve"> </v>
      </c>
      <c r="I37" s="51" t="str">
        <f t="shared" si="1"/>
        <v xml:space="preserve"> </v>
      </c>
      <c r="J37" s="51" t="str">
        <f t="shared" si="0"/>
        <v xml:space="preserve"> </v>
      </c>
      <c r="K37" s="51" t="str">
        <f t="shared" si="2"/>
        <v/>
      </c>
      <c r="L37" s="106" t="str">
        <f t="shared" si="7"/>
        <v xml:space="preserve"> </v>
      </c>
      <c r="M37" s="106" t="str">
        <f t="shared" si="3"/>
        <v xml:space="preserve"> </v>
      </c>
      <c r="N37" s="51" t="str">
        <f t="shared" si="4"/>
        <v xml:space="preserve"> </v>
      </c>
      <c r="O37" s="51"/>
      <c r="P37" s="51" t="str">
        <f t="shared" si="5"/>
        <v xml:space="preserve"> </v>
      </c>
      <c r="W37" s="166" t="s">
        <v>90</v>
      </c>
      <c r="X37" s="167"/>
      <c r="Z37" s="180"/>
      <c r="AA37" s="183"/>
    </row>
    <row r="38" spans="1:27" ht="15.75" customHeight="1" thickBot="1" x14ac:dyDescent="0.3">
      <c r="H38" s="50" t="str">
        <f t="shared" si="6"/>
        <v xml:space="preserve"> </v>
      </c>
      <c r="I38" s="51" t="str">
        <f t="shared" si="1"/>
        <v xml:space="preserve"> </v>
      </c>
      <c r="J38" s="51" t="str">
        <f t="shared" si="0"/>
        <v xml:space="preserve"> </v>
      </c>
      <c r="K38" s="51" t="str">
        <f t="shared" si="2"/>
        <v/>
      </c>
      <c r="L38" s="106" t="str">
        <f t="shared" si="7"/>
        <v xml:space="preserve"> </v>
      </c>
      <c r="M38" s="106" t="str">
        <f t="shared" si="3"/>
        <v xml:space="preserve"> </v>
      </c>
      <c r="N38" s="51" t="str">
        <f t="shared" si="4"/>
        <v xml:space="preserve"> </v>
      </c>
      <c r="O38" s="51"/>
      <c r="P38" s="51" t="str">
        <f t="shared" si="5"/>
        <v xml:space="preserve"> </v>
      </c>
      <c r="W38" s="168"/>
      <c r="X38" s="169"/>
      <c r="Z38" s="181"/>
      <c r="AA38" s="184"/>
    </row>
    <row r="39" spans="1:27" ht="18.75" x14ac:dyDescent="0.25">
      <c r="E39" s="46"/>
      <c r="F39" s="46"/>
      <c r="G39" s="46"/>
      <c r="H39" s="50" t="str">
        <f t="shared" si="6"/>
        <v xml:space="preserve"> </v>
      </c>
      <c r="I39" s="51" t="str">
        <f t="shared" si="1"/>
        <v xml:space="preserve"> </v>
      </c>
      <c r="J39" s="51" t="str">
        <f t="shared" si="0"/>
        <v xml:space="preserve"> </v>
      </c>
      <c r="K39" s="51" t="str">
        <f t="shared" si="2"/>
        <v/>
      </c>
      <c r="L39" s="106" t="str">
        <f t="shared" si="7"/>
        <v xml:space="preserve"> </v>
      </c>
      <c r="M39" s="106" t="str">
        <f t="shared" si="3"/>
        <v xml:space="preserve"> </v>
      </c>
      <c r="N39" s="51" t="str">
        <f t="shared" si="4"/>
        <v xml:space="preserve"> </v>
      </c>
      <c r="O39" s="51"/>
      <c r="P39" s="51" t="str">
        <f t="shared" si="5"/>
        <v xml:space="preserve"> </v>
      </c>
      <c r="W39" s="108"/>
      <c r="X39" s="108"/>
      <c r="Z39" s="107"/>
      <c r="AA39" s="109"/>
    </row>
    <row r="40" spans="1:27" ht="30" customHeight="1" x14ac:dyDescent="0.25">
      <c r="C40" s="88" t="s">
        <v>13</v>
      </c>
      <c r="D40" s="126">
        <f>+AA36</f>
        <v>0.26687499999999442</v>
      </c>
      <c r="E40" s="174" t="str">
        <f>IF(D41&gt;D42,"Excede la Máxima, considerar bajar la tasa nominal", "Esta dentro del límite")</f>
        <v>Esta dentro del límite</v>
      </c>
      <c r="F40" s="175"/>
      <c r="G40" s="46"/>
      <c r="H40" s="50" t="str">
        <f t="shared" si="6"/>
        <v xml:space="preserve"> </v>
      </c>
      <c r="I40" s="51" t="str">
        <f t="shared" si="1"/>
        <v xml:space="preserve"> </v>
      </c>
      <c r="J40" s="51" t="str">
        <f t="shared" si="0"/>
        <v xml:space="preserve"> </v>
      </c>
      <c r="K40" s="51" t="str">
        <f t="shared" si="2"/>
        <v/>
      </c>
      <c r="L40" s="106" t="str">
        <f t="shared" si="7"/>
        <v xml:space="preserve"> </v>
      </c>
      <c r="M40" s="106" t="str">
        <f t="shared" si="3"/>
        <v xml:space="preserve"> </v>
      </c>
      <c r="N40" s="51" t="str">
        <f t="shared" si="4"/>
        <v xml:space="preserve"> </v>
      </c>
      <c r="O40" s="51"/>
      <c r="P40" s="51" t="str">
        <f t="shared" si="5"/>
        <v xml:space="preserve"> </v>
      </c>
      <c r="S40" s="151" t="s">
        <v>92</v>
      </c>
      <c r="T40" s="151"/>
      <c r="U40" s="151"/>
      <c r="V40" s="151"/>
      <c r="W40" s="151"/>
      <c r="X40" s="151"/>
      <c r="Y40" s="151"/>
      <c r="Z40" s="151"/>
      <c r="AA40" s="151"/>
    </row>
    <row r="41" spans="1:27" ht="18.75" customHeight="1" thickBot="1" x14ac:dyDescent="0.3">
      <c r="C41" s="89" t="s">
        <v>14</v>
      </c>
      <c r="D41" s="127">
        <f>+V65</f>
        <v>0.30206398114381616</v>
      </c>
      <c r="E41" s="176"/>
      <c r="F41" s="177"/>
      <c r="G41" s="71"/>
      <c r="H41" s="50" t="str">
        <f t="shared" si="6"/>
        <v xml:space="preserve"> </v>
      </c>
      <c r="I41" s="51" t="str">
        <f t="shared" si="1"/>
        <v xml:space="preserve"> </v>
      </c>
      <c r="J41" s="51" t="str">
        <f t="shared" si="0"/>
        <v xml:space="preserve"> </v>
      </c>
      <c r="K41" s="51" t="str">
        <f t="shared" si="2"/>
        <v/>
      </c>
      <c r="L41" s="106" t="str">
        <f t="shared" si="7"/>
        <v xml:space="preserve"> </v>
      </c>
      <c r="M41" s="106" t="str">
        <f t="shared" si="3"/>
        <v xml:space="preserve"> </v>
      </c>
      <c r="N41" s="51" t="str">
        <f t="shared" si="4"/>
        <v xml:space="preserve"> </v>
      </c>
      <c r="O41" s="51"/>
      <c r="P41" s="51" t="str">
        <f t="shared" si="5"/>
        <v xml:space="preserve"> </v>
      </c>
      <c r="S41" s="152"/>
      <c r="T41" s="152"/>
      <c r="U41" s="152"/>
      <c r="V41" s="152"/>
      <c r="W41" s="152"/>
      <c r="X41" s="152"/>
      <c r="Y41" s="152"/>
      <c r="Z41" s="152"/>
      <c r="AA41" s="152"/>
    </row>
    <row r="42" spans="1:27" ht="30.75" thickBot="1" x14ac:dyDescent="0.3">
      <c r="C42" s="72" t="s">
        <v>55</v>
      </c>
      <c r="D42" s="73">
        <f>IF(D19="Productivo Corporativo",9.33%,IF(D19="Productivo Empresarial",10.21%,IF(D19="Productivo PYMES",11.83%,IF(D19="Comercial Ordinario",11.83%,IF(D19="Comercial Prioritario Corporativo",9.33%,IF(D19="Comercial Prioritario Empresarial",10.21%,IF(D19="Comercial Prioritario PYMES",11.83%,IF(D19="Consumo Ordinario",17.3%,IF(D19="Consumo Prioritario",17.3%,IF(D19="Educativo",9.5%,IF(D19="Vivienda de Interés Público",4.99%,IF(D19="Inmobiliario",11.33%,IF(D19="Microcrédito Minorista",30.5%,IF(D19="Microcrédito Acumulación Simple",27.5%,IF(D19="Microcrédito Acumulación Ampliada",25.5%)))))))))))))))</f>
        <v>0.30499999999999999</v>
      </c>
      <c r="E42" s="46"/>
      <c r="F42" s="46"/>
      <c r="G42" s="46"/>
      <c r="H42" s="50" t="str">
        <f t="shared" si="6"/>
        <v xml:space="preserve"> </v>
      </c>
      <c r="I42" s="51" t="str">
        <f t="shared" si="1"/>
        <v xml:space="preserve"> </v>
      </c>
      <c r="J42" s="51" t="str">
        <f t="shared" si="0"/>
        <v xml:space="preserve"> </v>
      </c>
      <c r="K42" s="51" t="str">
        <f t="shared" si="2"/>
        <v/>
      </c>
      <c r="L42" s="106" t="str">
        <f t="shared" si="7"/>
        <v xml:space="preserve"> </v>
      </c>
      <c r="M42" s="106" t="str">
        <f t="shared" si="3"/>
        <v xml:space="preserve"> </v>
      </c>
      <c r="N42" s="51" t="str">
        <f t="shared" si="4"/>
        <v xml:space="preserve"> </v>
      </c>
      <c r="O42" s="51"/>
      <c r="P42" s="51" t="str">
        <f t="shared" si="5"/>
        <v xml:space="preserve"> </v>
      </c>
      <c r="W42" s="108"/>
      <c r="X42" s="108"/>
      <c r="Z42" s="107"/>
      <c r="AA42" s="109"/>
    </row>
    <row r="43" spans="1:27" ht="18.75" x14ac:dyDescent="0.25">
      <c r="C43" s="74" t="s">
        <v>37</v>
      </c>
      <c r="D43" s="46"/>
      <c r="E43" s="46"/>
      <c r="F43" s="46"/>
      <c r="G43" s="87"/>
      <c r="H43" s="50" t="str">
        <f t="shared" si="6"/>
        <v xml:space="preserve"> </v>
      </c>
      <c r="I43" s="51" t="str">
        <f t="shared" si="1"/>
        <v xml:space="preserve"> </v>
      </c>
      <c r="J43" s="51" t="str">
        <f t="shared" si="0"/>
        <v xml:space="preserve"> </v>
      </c>
      <c r="K43" s="51" t="str">
        <f t="shared" si="2"/>
        <v/>
      </c>
      <c r="L43" s="106" t="str">
        <f t="shared" si="7"/>
        <v xml:space="preserve"> </v>
      </c>
      <c r="M43" s="106" t="str">
        <f t="shared" si="3"/>
        <v xml:space="preserve"> </v>
      </c>
      <c r="N43" s="51" t="str">
        <f t="shared" si="4"/>
        <v xml:space="preserve"> </v>
      </c>
      <c r="O43" s="51"/>
      <c r="P43" s="51" t="str">
        <f t="shared" si="5"/>
        <v xml:space="preserve"> </v>
      </c>
      <c r="S43" s="163" t="s">
        <v>93</v>
      </c>
      <c r="T43" s="163"/>
      <c r="U43" s="163"/>
      <c r="W43" s="108"/>
      <c r="X43" s="108"/>
      <c r="Z43" s="107"/>
      <c r="AA43" s="109"/>
    </row>
    <row r="44" spans="1:27" ht="18.75" x14ac:dyDescent="0.25">
      <c r="G44" s="46"/>
      <c r="H44" s="50" t="str">
        <f t="shared" si="6"/>
        <v xml:space="preserve"> </v>
      </c>
      <c r="I44" s="51" t="str">
        <f t="shared" si="1"/>
        <v xml:space="preserve"> </v>
      </c>
      <c r="J44" s="51" t="str">
        <f t="shared" si="0"/>
        <v xml:space="preserve"> </v>
      </c>
      <c r="K44" s="51" t="str">
        <f t="shared" si="2"/>
        <v/>
      </c>
      <c r="L44" s="106" t="str">
        <f t="shared" si="7"/>
        <v xml:space="preserve"> </v>
      </c>
      <c r="M44" s="106" t="str">
        <f t="shared" si="3"/>
        <v xml:space="preserve"> </v>
      </c>
      <c r="N44" s="51" t="str">
        <f t="shared" si="4"/>
        <v xml:space="preserve"> </v>
      </c>
      <c r="O44" s="51"/>
      <c r="P44" s="51" t="str">
        <f t="shared" si="5"/>
        <v xml:space="preserve"> </v>
      </c>
      <c r="S44" s="163"/>
      <c r="T44" s="163"/>
      <c r="U44" s="163"/>
      <c r="W44" s="108"/>
      <c r="X44" s="108"/>
      <c r="Z44" s="107"/>
      <c r="AA44" s="109"/>
    </row>
    <row r="45" spans="1:27" ht="18.75" x14ac:dyDescent="0.25">
      <c r="G45" s="46"/>
      <c r="H45" s="50" t="str">
        <f t="shared" si="6"/>
        <v xml:space="preserve"> </v>
      </c>
      <c r="I45" s="51" t="str">
        <f t="shared" si="1"/>
        <v xml:space="preserve"> </v>
      </c>
      <c r="J45" s="51" t="str">
        <f t="shared" si="0"/>
        <v xml:space="preserve"> </v>
      </c>
      <c r="K45" s="51" t="str">
        <f t="shared" si="2"/>
        <v/>
      </c>
      <c r="L45" s="106" t="str">
        <f t="shared" si="7"/>
        <v xml:space="preserve"> </v>
      </c>
      <c r="M45" s="106" t="str">
        <f t="shared" si="3"/>
        <v xml:space="preserve"> </v>
      </c>
      <c r="N45" s="51" t="str">
        <f t="shared" si="4"/>
        <v xml:space="preserve"> </v>
      </c>
      <c r="O45" s="51"/>
      <c r="P45" s="51" t="str">
        <f t="shared" si="5"/>
        <v xml:space="preserve"> </v>
      </c>
      <c r="W45" s="108"/>
      <c r="X45" s="108"/>
      <c r="Z45" s="107"/>
      <c r="AA45" s="109"/>
    </row>
    <row r="46" spans="1:27" ht="18.75" x14ac:dyDescent="0.25">
      <c r="G46" s="46"/>
      <c r="H46" s="50" t="str">
        <f t="shared" si="6"/>
        <v xml:space="preserve"> </v>
      </c>
      <c r="I46" s="51" t="str">
        <f t="shared" si="1"/>
        <v xml:space="preserve"> </v>
      </c>
      <c r="J46" s="51" t="str">
        <f t="shared" si="0"/>
        <v xml:space="preserve"> </v>
      </c>
      <c r="K46" s="51" t="str">
        <f t="shared" si="2"/>
        <v/>
      </c>
      <c r="L46" s="106" t="str">
        <f t="shared" si="7"/>
        <v xml:space="preserve"> </v>
      </c>
      <c r="M46" s="106" t="str">
        <f t="shared" si="3"/>
        <v xml:space="preserve"> </v>
      </c>
      <c r="N46" s="51" t="str">
        <f t="shared" si="4"/>
        <v xml:space="preserve"> </v>
      </c>
      <c r="O46" s="51"/>
      <c r="P46" s="51" t="str">
        <f t="shared" si="5"/>
        <v xml:space="preserve"> </v>
      </c>
      <c r="W46" s="108"/>
      <c r="X46" s="108"/>
      <c r="Z46" s="107"/>
      <c r="AA46" s="109"/>
    </row>
    <row r="47" spans="1:27" ht="18.75" x14ac:dyDescent="0.25">
      <c r="B47" s="75"/>
      <c r="C47" s="46"/>
      <c r="D47" s="77"/>
      <c r="E47" s="76"/>
      <c r="F47" s="46"/>
      <c r="G47" s="46"/>
      <c r="H47" s="50" t="str">
        <f t="shared" si="6"/>
        <v xml:space="preserve"> </v>
      </c>
      <c r="I47" s="51" t="str">
        <f t="shared" si="1"/>
        <v xml:space="preserve"> </v>
      </c>
      <c r="J47" s="51" t="str">
        <f t="shared" si="0"/>
        <v xml:space="preserve"> </v>
      </c>
      <c r="K47" s="51" t="str">
        <f t="shared" si="2"/>
        <v/>
      </c>
      <c r="L47" s="106" t="str">
        <f t="shared" si="7"/>
        <v xml:space="preserve"> </v>
      </c>
      <c r="M47" s="106" t="str">
        <f t="shared" si="3"/>
        <v xml:space="preserve"> </v>
      </c>
      <c r="N47" s="51" t="str">
        <f t="shared" si="4"/>
        <v xml:space="preserve"> </v>
      </c>
      <c r="O47" s="51"/>
      <c r="P47" s="51" t="str">
        <f t="shared" si="5"/>
        <v xml:space="preserve"> </v>
      </c>
      <c r="W47" s="108"/>
      <c r="X47" s="108"/>
      <c r="Z47" s="107"/>
      <c r="AA47" s="109"/>
    </row>
    <row r="48" spans="1:27" ht="18.75" x14ac:dyDescent="0.25">
      <c r="B48" s="75"/>
      <c r="C48" s="46" t="s">
        <v>49</v>
      </c>
      <c r="D48" s="76"/>
      <c r="E48" s="76"/>
      <c r="F48" s="46"/>
      <c r="G48" s="46"/>
      <c r="H48" s="50" t="str">
        <f t="shared" si="6"/>
        <v xml:space="preserve"> </v>
      </c>
      <c r="I48" s="51" t="str">
        <f t="shared" si="1"/>
        <v xml:space="preserve"> </v>
      </c>
      <c r="J48" s="51" t="str">
        <f t="shared" si="0"/>
        <v xml:space="preserve"> </v>
      </c>
      <c r="K48" s="51" t="str">
        <f t="shared" si="2"/>
        <v/>
      </c>
      <c r="L48" s="106" t="str">
        <f t="shared" si="7"/>
        <v xml:space="preserve"> </v>
      </c>
      <c r="M48" s="106" t="str">
        <f t="shared" si="3"/>
        <v xml:space="preserve"> </v>
      </c>
      <c r="N48" s="51" t="str">
        <f t="shared" si="4"/>
        <v xml:space="preserve"> </v>
      </c>
      <c r="O48" s="51"/>
      <c r="P48" s="51" t="str">
        <f t="shared" si="5"/>
        <v xml:space="preserve"> </v>
      </c>
      <c r="W48" s="108"/>
      <c r="X48" s="108"/>
      <c r="Z48" s="107"/>
      <c r="AA48" s="109"/>
    </row>
    <row r="49" spans="2:27" ht="18.75" x14ac:dyDescent="0.25">
      <c r="B49" s="75"/>
      <c r="C49" s="46" t="s">
        <v>50</v>
      </c>
      <c r="D49" s="76"/>
      <c r="E49" s="76"/>
      <c r="F49" s="46"/>
      <c r="G49" s="46"/>
      <c r="H49" s="50" t="str">
        <f t="shared" si="6"/>
        <v xml:space="preserve"> </v>
      </c>
      <c r="I49" s="51" t="str">
        <f t="shared" si="1"/>
        <v xml:space="preserve"> </v>
      </c>
      <c r="J49" s="51" t="str">
        <f t="shared" si="0"/>
        <v xml:space="preserve"> </v>
      </c>
      <c r="K49" s="51" t="str">
        <f t="shared" si="2"/>
        <v/>
      </c>
      <c r="L49" s="106" t="str">
        <f t="shared" si="7"/>
        <v xml:space="preserve"> </v>
      </c>
      <c r="M49" s="106" t="str">
        <f t="shared" si="3"/>
        <v xml:space="preserve"> </v>
      </c>
      <c r="N49" s="51" t="str">
        <f t="shared" si="4"/>
        <v xml:space="preserve"> </v>
      </c>
      <c r="O49" s="51"/>
      <c r="P49" s="51" t="str">
        <f t="shared" si="5"/>
        <v xml:space="preserve"> </v>
      </c>
      <c r="S49" s="164" t="s">
        <v>87</v>
      </c>
      <c r="T49" s="164"/>
      <c r="W49" s="108"/>
      <c r="X49" s="108"/>
      <c r="Z49" s="107"/>
      <c r="AA49" s="109"/>
    </row>
    <row r="50" spans="2:27" ht="18.75" x14ac:dyDescent="0.25">
      <c r="B50" s="75"/>
      <c r="C50" s="46" t="s">
        <v>54</v>
      </c>
      <c r="D50" s="76"/>
      <c r="E50" s="76"/>
      <c r="F50" s="46"/>
      <c r="G50" s="46"/>
      <c r="H50" s="50" t="str">
        <f t="shared" si="6"/>
        <v xml:space="preserve"> </v>
      </c>
      <c r="I50" s="51" t="str">
        <f t="shared" si="1"/>
        <v xml:space="preserve"> </v>
      </c>
      <c r="J50" s="51" t="str">
        <f t="shared" si="0"/>
        <v xml:space="preserve"> </v>
      </c>
      <c r="K50" s="51" t="str">
        <f t="shared" si="2"/>
        <v/>
      </c>
      <c r="L50" s="106" t="str">
        <f t="shared" si="7"/>
        <v xml:space="preserve"> </v>
      </c>
      <c r="M50" s="106" t="str">
        <f t="shared" si="3"/>
        <v xml:space="preserve"> </v>
      </c>
      <c r="N50" s="51" t="str">
        <f t="shared" si="4"/>
        <v xml:space="preserve"> </v>
      </c>
      <c r="O50" s="51"/>
      <c r="P50" s="51" t="str">
        <f t="shared" si="5"/>
        <v xml:space="preserve"> </v>
      </c>
      <c r="S50" s="164"/>
      <c r="T50" s="164"/>
      <c r="W50" s="108"/>
      <c r="X50" s="108"/>
      <c r="Z50" s="107"/>
      <c r="AA50" s="109"/>
    </row>
    <row r="51" spans="2:27" ht="18.75" x14ac:dyDescent="0.25">
      <c r="B51" s="75"/>
      <c r="C51" s="46" t="s">
        <v>66</v>
      </c>
      <c r="D51" s="76"/>
      <c r="E51" s="76"/>
      <c r="F51" s="46"/>
      <c r="G51" s="46"/>
      <c r="H51" s="50" t="str">
        <f t="shared" si="6"/>
        <v xml:space="preserve"> </v>
      </c>
      <c r="I51" s="51" t="str">
        <f t="shared" si="1"/>
        <v xml:space="preserve"> </v>
      </c>
      <c r="J51" s="51" t="str">
        <f t="shared" si="0"/>
        <v xml:space="preserve"> </v>
      </c>
      <c r="K51" s="51" t="str">
        <f t="shared" si="2"/>
        <v/>
      </c>
      <c r="L51" s="106" t="str">
        <f t="shared" si="7"/>
        <v xml:space="preserve"> </v>
      </c>
      <c r="M51" s="106" t="str">
        <f t="shared" si="3"/>
        <v xml:space="preserve"> </v>
      </c>
      <c r="N51" s="51" t="str">
        <f t="shared" si="4"/>
        <v xml:space="preserve"> </v>
      </c>
      <c r="O51" s="51"/>
      <c r="P51" s="51" t="str">
        <f t="shared" si="5"/>
        <v xml:space="preserve"> </v>
      </c>
      <c r="W51" s="108"/>
      <c r="X51" s="108"/>
      <c r="Z51" s="107"/>
      <c r="AA51" s="109"/>
    </row>
    <row r="52" spans="2:27" ht="18.75" x14ac:dyDescent="0.25">
      <c r="B52" s="75"/>
      <c r="C52" s="46" t="s">
        <v>67</v>
      </c>
      <c r="D52" s="76"/>
      <c r="E52" s="76"/>
      <c r="F52" s="46"/>
      <c r="G52" s="46"/>
      <c r="H52" s="50" t="str">
        <f t="shared" si="6"/>
        <v xml:space="preserve"> </v>
      </c>
      <c r="I52" s="51" t="str">
        <f t="shared" si="1"/>
        <v xml:space="preserve"> </v>
      </c>
      <c r="J52" s="51" t="str">
        <f t="shared" si="0"/>
        <v xml:space="preserve"> </v>
      </c>
      <c r="K52" s="51" t="str">
        <f t="shared" si="2"/>
        <v/>
      </c>
      <c r="L52" s="106" t="str">
        <f t="shared" si="7"/>
        <v xml:space="preserve"> </v>
      </c>
      <c r="M52" s="106" t="str">
        <f t="shared" si="3"/>
        <v xml:space="preserve"> </v>
      </c>
      <c r="N52" s="51" t="str">
        <f t="shared" si="4"/>
        <v xml:space="preserve"> </v>
      </c>
      <c r="O52" s="51"/>
      <c r="P52" s="51" t="str">
        <f t="shared" si="5"/>
        <v xml:space="preserve"> </v>
      </c>
      <c r="W52" s="108"/>
      <c r="X52" s="108"/>
      <c r="Z52" s="107"/>
      <c r="AA52" s="109"/>
    </row>
    <row r="53" spans="2:27" ht="15" x14ac:dyDescent="0.25">
      <c r="B53" s="75"/>
      <c r="C53" s="46" t="s">
        <v>68</v>
      </c>
      <c r="D53" s="76"/>
      <c r="E53" s="76"/>
      <c r="F53" s="46"/>
      <c r="G53" s="46"/>
      <c r="H53" s="50" t="str">
        <f t="shared" si="6"/>
        <v xml:space="preserve"> </v>
      </c>
      <c r="I53" s="51" t="str">
        <f t="shared" si="1"/>
        <v xml:space="preserve"> </v>
      </c>
      <c r="J53" s="51" t="str">
        <f t="shared" si="0"/>
        <v xml:space="preserve"> </v>
      </c>
      <c r="K53" s="51" t="str">
        <f t="shared" si="2"/>
        <v/>
      </c>
      <c r="L53" s="106" t="str">
        <f t="shared" si="7"/>
        <v xml:space="preserve"> </v>
      </c>
      <c r="M53" s="106" t="str">
        <f t="shared" si="3"/>
        <v xml:space="preserve"> </v>
      </c>
      <c r="N53" s="51" t="str">
        <f t="shared" si="4"/>
        <v xml:space="preserve"> </v>
      </c>
      <c r="O53" s="51"/>
      <c r="P53" s="51" t="str">
        <f t="shared" si="5"/>
        <v xml:space="preserve"> </v>
      </c>
    </row>
    <row r="54" spans="2:27" ht="28.5" x14ac:dyDescent="0.25">
      <c r="B54" s="75"/>
      <c r="C54" s="46" t="s">
        <v>69</v>
      </c>
      <c r="D54" s="76"/>
      <c r="E54" s="76"/>
      <c r="F54" s="46"/>
      <c r="G54" s="46"/>
      <c r="H54" s="50" t="str">
        <f t="shared" si="6"/>
        <v xml:space="preserve"> </v>
      </c>
      <c r="I54" s="51" t="str">
        <f t="shared" si="1"/>
        <v xml:space="preserve"> </v>
      </c>
      <c r="J54" s="51" t="str">
        <f t="shared" si="0"/>
        <v xml:space="preserve"> </v>
      </c>
      <c r="K54" s="51" t="str">
        <f t="shared" si="2"/>
        <v/>
      </c>
      <c r="L54" s="106" t="str">
        <f t="shared" si="7"/>
        <v xml:space="preserve"> </v>
      </c>
      <c r="M54" s="106" t="str">
        <f t="shared" si="3"/>
        <v xml:space="preserve"> </v>
      </c>
      <c r="N54" s="51" t="str">
        <f t="shared" si="4"/>
        <v xml:space="preserve"> </v>
      </c>
      <c r="O54" s="51"/>
      <c r="P54" s="51" t="str">
        <f t="shared" si="5"/>
        <v xml:space="preserve"> </v>
      </c>
      <c r="T54" s="112"/>
      <c r="U54" s="113"/>
      <c r="V54" s="113"/>
      <c r="W54" s="113"/>
      <c r="X54" s="114"/>
      <c r="Y54" s="115">
        <v>360</v>
      </c>
      <c r="Z54" s="116"/>
    </row>
    <row r="55" spans="2:27" ht="15" x14ac:dyDescent="0.25">
      <c r="B55" s="75"/>
      <c r="C55" s="46" t="s">
        <v>70</v>
      </c>
      <c r="D55" s="76"/>
      <c r="E55" s="76"/>
      <c r="F55" s="46"/>
      <c r="G55" s="46"/>
      <c r="H55" s="50" t="str">
        <f t="shared" si="6"/>
        <v xml:space="preserve"> </v>
      </c>
      <c r="I55" s="51" t="str">
        <f t="shared" si="1"/>
        <v xml:space="preserve"> </v>
      </c>
      <c r="J55" s="51" t="str">
        <f t="shared" si="0"/>
        <v xml:space="preserve"> </v>
      </c>
      <c r="K55" s="51" t="str">
        <f t="shared" si="2"/>
        <v/>
      </c>
      <c r="L55" s="106" t="str">
        <f t="shared" si="7"/>
        <v xml:space="preserve"> </v>
      </c>
      <c r="M55" s="106" t="str">
        <f t="shared" si="3"/>
        <v xml:space="preserve"> </v>
      </c>
      <c r="N55" s="51" t="str">
        <f t="shared" si="4"/>
        <v xml:space="preserve"> </v>
      </c>
      <c r="O55" s="51"/>
      <c r="P55" s="51" t="str">
        <f t="shared" si="5"/>
        <v xml:space="preserve"> </v>
      </c>
      <c r="T55" s="117"/>
      <c r="U55" s="118"/>
      <c r="V55" s="118"/>
      <c r="W55" s="118"/>
      <c r="X55" s="118"/>
      <c r="Y55" s="119">
        <f>+X57</f>
        <v>30</v>
      </c>
      <c r="Z55" s="120"/>
    </row>
    <row r="56" spans="2:27" ht="15.75" x14ac:dyDescent="0.25">
      <c r="B56" s="75"/>
      <c r="C56" s="46" t="s">
        <v>71</v>
      </c>
      <c r="D56" s="76"/>
      <c r="E56" s="76"/>
      <c r="F56" s="46"/>
      <c r="G56" s="46"/>
      <c r="H56" s="50" t="str">
        <f t="shared" si="6"/>
        <v xml:space="preserve"> </v>
      </c>
      <c r="I56" s="51" t="str">
        <f t="shared" si="1"/>
        <v xml:space="preserve"> </v>
      </c>
      <c r="J56" s="51" t="str">
        <f t="shared" si="0"/>
        <v xml:space="preserve"> </v>
      </c>
      <c r="K56" s="51" t="str">
        <f t="shared" si="2"/>
        <v/>
      </c>
      <c r="L56" s="106" t="str">
        <f t="shared" si="7"/>
        <v xml:space="preserve"> </v>
      </c>
      <c r="M56" s="106" t="str">
        <f t="shared" si="3"/>
        <v xml:space="preserve"> </v>
      </c>
      <c r="N56" s="51" t="str">
        <f t="shared" si="4"/>
        <v xml:space="preserve"> </v>
      </c>
      <c r="O56" s="51"/>
      <c r="P56" s="51" t="str">
        <f t="shared" si="5"/>
        <v xml:space="preserve"> </v>
      </c>
      <c r="T56" s="117"/>
      <c r="U56" s="118"/>
      <c r="V56" s="118"/>
      <c r="W56" s="118"/>
      <c r="X56" s="121"/>
      <c r="Y56" s="118"/>
      <c r="Z56" s="120"/>
    </row>
    <row r="57" spans="2:27" ht="28.5" x14ac:dyDescent="0.45">
      <c r="B57" s="75"/>
      <c r="C57" s="46" t="s">
        <v>72</v>
      </c>
      <c r="D57" s="76"/>
      <c r="E57" s="76"/>
      <c r="F57" s="46"/>
      <c r="G57" s="46"/>
      <c r="H57" s="50" t="str">
        <f t="shared" si="6"/>
        <v xml:space="preserve"> </v>
      </c>
      <c r="I57" s="51" t="str">
        <f t="shared" si="1"/>
        <v xml:space="preserve"> </v>
      </c>
      <c r="J57" s="51" t="str">
        <f t="shared" si="0"/>
        <v xml:space="preserve"> </v>
      </c>
      <c r="K57" s="51" t="str">
        <f t="shared" si="2"/>
        <v/>
      </c>
      <c r="L57" s="106" t="str">
        <f t="shared" si="7"/>
        <v xml:space="preserve"> </v>
      </c>
      <c r="M57" s="106" t="str">
        <f t="shared" si="3"/>
        <v xml:space="preserve"> </v>
      </c>
      <c r="N57" s="51" t="str">
        <f t="shared" si="4"/>
        <v xml:space="preserve"> </v>
      </c>
      <c r="O57" s="51"/>
      <c r="P57" s="51" t="str">
        <f t="shared" si="5"/>
        <v xml:space="preserve"> </v>
      </c>
      <c r="T57" s="117"/>
      <c r="U57" s="118"/>
      <c r="V57" s="190">
        <v>1</v>
      </c>
      <c r="W57" s="191">
        <f>+AA36</f>
        <v>0.26687499999999442</v>
      </c>
      <c r="X57" s="122">
        <f>+$D$32</f>
        <v>30</v>
      </c>
      <c r="Y57" s="118"/>
      <c r="Z57" s="192">
        <v>1</v>
      </c>
    </row>
    <row r="58" spans="2:27" ht="28.5" x14ac:dyDescent="0.45">
      <c r="B58" s="75"/>
      <c r="C58" s="46" t="s">
        <v>73</v>
      </c>
      <c r="D58" s="76"/>
      <c r="E58" s="76"/>
      <c r="F58" s="46"/>
      <c r="G58" s="46"/>
      <c r="H58" s="50" t="str">
        <f t="shared" si="6"/>
        <v xml:space="preserve"> </v>
      </c>
      <c r="I58" s="51" t="str">
        <f t="shared" si="1"/>
        <v xml:space="preserve"> </v>
      </c>
      <c r="J58" s="51" t="str">
        <f t="shared" si="0"/>
        <v xml:space="preserve"> </v>
      </c>
      <c r="K58" s="51" t="str">
        <f t="shared" si="2"/>
        <v/>
      </c>
      <c r="L58" s="106" t="str">
        <f t="shared" si="7"/>
        <v xml:space="preserve"> </v>
      </c>
      <c r="M58" s="106" t="str">
        <f t="shared" si="3"/>
        <v xml:space="preserve"> </v>
      </c>
      <c r="N58" s="51" t="str">
        <f t="shared" si="4"/>
        <v xml:space="preserve"> </v>
      </c>
      <c r="O58" s="51"/>
      <c r="P58" s="51" t="str">
        <f t="shared" si="5"/>
        <v xml:space="preserve"> </v>
      </c>
      <c r="T58" s="117"/>
      <c r="U58" s="118"/>
      <c r="V58" s="190"/>
      <c r="W58" s="191"/>
      <c r="X58" s="122">
        <v>360</v>
      </c>
      <c r="Y58" s="110"/>
      <c r="Z58" s="192"/>
    </row>
    <row r="59" spans="2:27" ht="15" x14ac:dyDescent="0.25">
      <c r="B59" s="75"/>
      <c r="C59" s="46" t="s">
        <v>74</v>
      </c>
      <c r="D59" s="76"/>
      <c r="E59" s="76"/>
      <c r="F59" s="46"/>
      <c r="G59" s="46"/>
      <c r="H59" s="50" t="str">
        <f t="shared" si="6"/>
        <v xml:space="preserve"> </v>
      </c>
      <c r="I59" s="51" t="str">
        <f t="shared" si="1"/>
        <v xml:space="preserve"> </v>
      </c>
      <c r="J59" s="51" t="str">
        <f t="shared" si="0"/>
        <v xml:space="preserve"> </v>
      </c>
      <c r="K59" s="51" t="str">
        <f t="shared" si="2"/>
        <v/>
      </c>
      <c r="L59" s="106" t="str">
        <f t="shared" si="7"/>
        <v xml:space="preserve"> </v>
      </c>
      <c r="M59" s="106" t="str">
        <f t="shared" si="3"/>
        <v xml:space="preserve"> </v>
      </c>
      <c r="N59" s="51" t="str">
        <f t="shared" si="4"/>
        <v xml:space="preserve"> </v>
      </c>
      <c r="O59" s="51"/>
      <c r="P59" s="51" t="str">
        <f t="shared" si="5"/>
        <v xml:space="preserve"> </v>
      </c>
      <c r="T59" s="117"/>
      <c r="U59" s="118"/>
      <c r="V59" s="118"/>
      <c r="W59" s="118"/>
      <c r="X59" s="118"/>
      <c r="Y59" s="118"/>
      <c r="Z59" s="120"/>
    </row>
    <row r="60" spans="2:27" ht="15" x14ac:dyDescent="0.25">
      <c r="B60" s="75"/>
      <c r="C60" s="46" t="s">
        <v>51</v>
      </c>
      <c r="D60" s="76"/>
      <c r="E60" s="75"/>
      <c r="H60" s="50" t="str">
        <f t="shared" si="6"/>
        <v xml:space="preserve"> </v>
      </c>
      <c r="I60" s="51" t="str">
        <f t="shared" si="1"/>
        <v xml:space="preserve"> </v>
      </c>
      <c r="J60" s="51" t="str">
        <f t="shared" si="0"/>
        <v xml:space="preserve"> </v>
      </c>
      <c r="K60" s="51" t="str">
        <f t="shared" si="2"/>
        <v/>
      </c>
      <c r="L60" s="106" t="str">
        <f t="shared" si="7"/>
        <v xml:space="preserve"> </v>
      </c>
      <c r="M60" s="106" t="str">
        <f t="shared" si="3"/>
        <v xml:space="preserve"> </v>
      </c>
      <c r="N60" s="51" t="str">
        <f t="shared" si="4"/>
        <v xml:space="preserve"> </v>
      </c>
      <c r="O60" s="51"/>
      <c r="P60" s="51" t="str">
        <f t="shared" si="5"/>
        <v xml:space="preserve"> </v>
      </c>
      <c r="T60" s="117"/>
      <c r="U60" s="118"/>
      <c r="V60" s="118"/>
      <c r="W60" s="118"/>
      <c r="X60" s="118"/>
      <c r="Y60" s="118"/>
      <c r="Z60" s="120"/>
    </row>
    <row r="61" spans="2:27" ht="15" x14ac:dyDescent="0.25">
      <c r="B61" s="75"/>
      <c r="C61" s="46" t="s">
        <v>52</v>
      </c>
      <c r="D61" s="76"/>
      <c r="E61" s="75"/>
      <c r="H61" s="50" t="str">
        <f t="shared" si="6"/>
        <v xml:space="preserve"> </v>
      </c>
      <c r="I61" s="51" t="str">
        <f t="shared" si="1"/>
        <v xml:space="preserve"> </v>
      </c>
      <c r="J61" s="51" t="str">
        <f t="shared" si="0"/>
        <v xml:space="preserve"> </v>
      </c>
      <c r="K61" s="51" t="str">
        <f t="shared" si="2"/>
        <v/>
      </c>
      <c r="L61" s="106" t="str">
        <f t="shared" si="7"/>
        <v xml:space="preserve"> </v>
      </c>
      <c r="M61" s="106" t="str">
        <f t="shared" si="3"/>
        <v xml:space="preserve"> </v>
      </c>
      <c r="N61" s="51" t="str">
        <f t="shared" si="4"/>
        <v xml:space="preserve"> </v>
      </c>
      <c r="O61" s="51"/>
      <c r="P61" s="51" t="str">
        <f t="shared" si="5"/>
        <v xml:space="preserve"> </v>
      </c>
      <c r="T61" s="123"/>
      <c r="U61" s="124"/>
      <c r="V61" s="124"/>
      <c r="W61" s="124"/>
      <c r="X61" s="124"/>
      <c r="Y61" s="124"/>
      <c r="Z61" s="125"/>
    </row>
    <row r="62" spans="2:27" ht="15" x14ac:dyDescent="0.25">
      <c r="B62" s="75"/>
      <c r="C62" s="46" t="s">
        <v>53</v>
      </c>
      <c r="D62" s="76"/>
      <c r="E62" s="75"/>
      <c r="H62" s="50" t="str">
        <f t="shared" si="6"/>
        <v xml:space="preserve"> </v>
      </c>
      <c r="I62" s="51" t="str">
        <f t="shared" si="1"/>
        <v xml:space="preserve"> </v>
      </c>
      <c r="J62" s="51" t="str">
        <f t="shared" si="0"/>
        <v xml:space="preserve"> </v>
      </c>
      <c r="K62" s="51" t="str">
        <f t="shared" si="2"/>
        <v/>
      </c>
      <c r="L62" s="106" t="str">
        <f t="shared" si="7"/>
        <v xml:space="preserve"> </v>
      </c>
      <c r="M62" s="106" t="str">
        <f t="shared" si="3"/>
        <v xml:space="preserve"> </v>
      </c>
      <c r="N62" s="51" t="str">
        <f t="shared" si="4"/>
        <v xml:space="preserve"> </v>
      </c>
      <c r="O62" s="51"/>
      <c r="P62" s="51" t="str">
        <f t="shared" si="5"/>
        <v xml:space="preserve"> </v>
      </c>
    </row>
    <row r="63" spans="2:27" ht="28.5" x14ac:dyDescent="0.45">
      <c r="B63" s="75"/>
      <c r="D63" s="75"/>
      <c r="E63" s="75"/>
      <c r="H63" s="50" t="str">
        <f t="shared" si="6"/>
        <v xml:space="preserve"> </v>
      </c>
      <c r="I63" s="51" t="str">
        <f t="shared" si="1"/>
        <v xml:space="preserve"> </v>
      </c>
      <c r="J63" s="51" t="str">
        <f t="shared" si="0"/>
        <v xml:space="preserve"> </v>
      </c>
      <c r="K63" s="51" t="str">
        <f t="shared" si="2"/>
        <v/>
      </c>
      <c r="L63" s="106" t="str">
        <f t="shared" si="7"/>
        <v xml:space="preserve"> </v>
      </c>
      <c r="M63" s="106" t="str">
        <f t="shared" si="3"/>
        <v xml:space="preserve"> </v>
      </c>
      <c r="N63" s="51" t="str">
        <f t="shared" si="4"/>
        <v xml:space="preserve"> </v>
      </c>
      <c r="O63" s="51"/>
      <c r="P63" s="51" t="str">
        <f t="shared" si="5"/>
        <v xml:space="preserve"> </v>
      </c>
      <c r="U63" s="78"/>
    </row>
    <row r="64" spans="2:27" ht="15.75" thickBot="1" x14ac:dyDescent="0.3">
      <c r="B64" s="75"/>
      <c r="C64" s="41" t="s">
        <v>76</v>
      </c>
      <c r="D64" s="75"/>
      <c r="E64" s="75"/>
      <c r="H64" s="50" t="str">
        <f t="shared" si="6"/>
        <v xml:space="preserve"> </v>
      </c>
      <c r="I64" s="51" t="str">
        <f t="shared" si="1"/>
        <v xml:space="preserve"> </v>
      </c>
      <c r="J64" s="51" t="str">
        <f t="shared" si="0"/>
        <v xml:space="preserve"> </v>
      </c>
      <c r="K64" s="51" t="str">
        <f t="shared" si="2"/>
        <v/>
      </c>
      <c r="L64" s="106" t="str">
        <f t="shared" si="7"/>
        <v xml:space="preserve"> </v>
      </c>
      <c r="M64" s="106" t="str">
        <f t="shared" si="3"/>
        <v xml:space="preserve"> </v>
      </c>
      <c r="N64" s="51" t="str">
        <f t="shared" si="4"/>
        <v xml:space="preserve"> </v>
      </c>
      <c r="O64" s="51"/>
      <c r="P64" s="51" t="str">
        <f t="shared" si="5"/>
        <v xml:space="preserve"> </v>
      </c>
    </row>
    <row r="65" spans="2:24" ht="28.5" customHeight="1" x14ac:dyDescent="0.25">
      <c r="B65" s="75"/>
      <c r="C65" s="41" t="s">
        <v>63</v>
      </c>
      <c r="D65" s="75"/>
      <c r="E65" s="75"/>
      <c r="H65" s="50" t="str">
        <f t="shared" si="6"/>
        <v xml:space="preserve"> </v>
      </c>
      <c r="I65" s="51" t="str">
        <f t="shared" si="1"/>
        <v xml:space="preserve"> </v>
      </c>
      <c r="J65" s="51" t="str">
        <f t="shared" si="0"/>
        <v xml:space="preserve"> </v>
      </c>
      <c r="K65" s="51" t="str">
        <f t="shared" si="2"/>
        <v/>
      </c>
      <c r="L65" s="106" t="str">
        <f t="shared" si="7"/>
        <v xml:space="preserve"> </v>
      </c>
      <c r="M65" s="106" t="str">
        <f t="shared" si="3"/>
        <v xml:space="preserve"> </v>
      </c>
      <c r="N65" s="51" t="str">
        <f t="shared" si="4"/>
        <v xml:space="preserve"> </v>
      </c>
      <c r="O65" s="51"/>
      <c r="P65" s="51" t="str">
        <f t="shared" si="5"/>
        <v xml:space="preserve"> </v>
      </c>
      <c r="U65" s="186" t="s">
        <v>0</v>
      </c>
      <c r="V65" s="153">
        <f>+((1+AA36*($D$32/360))^(360/$D$32))-1</f>
        <v>0.30206398114381616</v>
      </c>
      <c r="W65" s="154"/>
      <c r="X65" s="111"/>
    </row>
    <row r="66" spans="2:24" ht="28.5" customHeight="1" thickBot="1" x14ac:dyDescent="0.3">
      <c r="H66" s="50" t="str">
        <f t="shared" si="6"/>
        <v xml:space="preserve"> </v>
      </c>
      <c r="I66" s="51" t="str">
        <f t="shared" si="1"/>
        <v xml:space="preserve"> </v>
      </c>
      <c r="J66" s="51" t="str">
        <f t="shared" si="0"/>
        <v xml:space="preserve"> </v>
      </c>
      <c r="K66" s="51" t="str">
        <f t="shared" si="2"/>
        <v/>
      </c>
      <c r="L66" s="106" t="str">
        <f t="shared" si="7"/>
        <v xml:space="preserve"> </v>
      </c>
      <c r="M66" s="106" t="str">
        <f t="shared" si="3"/>
        <v xml:space="preserve"> </v>
      </c>
      <c r="N66" s="51" t="str">
        <f t="shared" si="4"/>
        <v xml:space="preserve"> </v>
      </c>
      <c r="O66" s="51"/>
      <c r="P66" s="51" t="str">
        <f t="shared" si="5"/>
        <v xml:space="preserve"> </v>
      </c>
      <c r="U66" s="187"/>
      <c r="V66" s="155"/>
      <c r="W66" s="156"/>
      <c r="X66" s="111"/>
    </row>
    <row r="67" spans="2:24" ht="15" x14ac:dyDescent="0.25">
      <c r="C67" s="41" t="s">
        <v>94</v>
      </c>
      <c r="H67" s="50" t="str">
        <f t="shared" si="6"/>
        <v xml:space="preserve"> </v>
      </c>
      <c r="I67" s="51" t="str">
        <f t="shared" si="1"/>
        <v xml:space="preserve"> </v>
      </c>
      <c r="J67" s="51" t="str">
        <f t="shared" si="0"/>
        <v xml:space="preserve"> </v>
      </c>
      <c r="K67" s="51" t="str">
        <f t="shared" si="2"/>
        <v/>
      </c>
      <c r="L67" s="106" t="str">
        <f t="shared" si="7"/>
        <v xml:space="preserve"> </v>
      </c>
      <c r="M67" s="106" t="str">
        <f t="shared" si="3"/>
        <v xml:space="preserve"> </v>
      </c>
      <c r="N67" s="51" t="str">
        <f t="shared" si="4"/>
        <v xml:space="preserve"> </v>
      </c>
      <c r="O67" s="51"/>
      <c r="P67" s="51" t="str">
        <f t="shared" si="5"/>
        <v xml:space="preserve"> </v>
      </c>
    </row>
    <row r="68" spans="2:24" ht="15" x14ac:dyDescent="0.25">
      <c r="C68" s="41" t="s">
        <v>77</v>
      </c>
      <c r="H68" s="50" t="str">
        <f t="shared" si="6"/>
        <v xml:space="preserve"> </v>
      </c>
      <c r="I68" s="51" t="str">
        <f t="shared" si="1"/>
        <v xml:space="preserve"> </v>
      </c>
      <c r="J68" s="51" t="str">
        <f t="shared" si="0"/>
        <v xml:space="preserve"> </v>
      </c>
      <c r="K68" s="51" t="str">
        <f t="shared" si="2"/>
        <v/>
      </c>
      <c r="L68" s="106" t="str">
        <f t="shared" si="7"/>
        <v xml:space="preserve"> </v>
      </c>
      <c r="M68" s="106" t="str">
        <f t="shared" si="3"/>
        <v xml:space="preserve"> </v>
      </c>
      <c r="N68" s="51" t="str">
        <f t="shared" si="4"/>
        <v xml:space="preserve"> </v>
      </c>
      <c r="O68" s="51"/>
      <c r="P68" s="51" t="str">
        <f t="shared" si="5"/>
        <v xml:space="preserve"> </v>
      </c>
    </row>
    <row r="69" spans="2:24" ht="15" x14ac:dyDescent="0.25">
      <c r="C69" s="41" t="s">
        <v>78</v>
      </c>
      <c r="H69" s="50" t="str">
        <f t="shared" si="6"/>
        <v xml:space="preserve"> </v>
      </c>
      <c r="I69" s="51" t="str">
        <f t="shared" si="1"/>
        <v xml:space="preserve"> </v>
      </c>
      <c r="J69" s="51" t="str">
        <f t="shared" si="0"/>
        <v xml:space="preserve"> </v>
      </c>
      <c r="K69" s="51" t="str">
        <f t="shared" si="2"/>
        <v/>
      </c>
      <c r="L69" s="106" t="str">
        <f t="shared" si="7"/>
        <v xml:space="preserve"> </v>
      </c>
      <c r="M69" s="106" t="str">
        <f t="shared" si="3"/>
        <v xml:space="preserve"> </v>
      </c>
      <c r="N69" s="51" t="str">
        <f t="shared" si="4"/>
        <v xml:space="preserve"> </v>
      </c>
      <c r="O69" s="51"/>
      <c r="P69" s="51" t="str">
        <f t="shared" si="5"/>
        <v xml:space="preserve"> </v>
      </c>
    </row>
    <row r="70" spans="2:24" ht="15" x14ac:dyDescent="0.25">
      <c r="C70" s="41" t="s">
        <v>81</v>
      </c>
      <c r="H70" s="50" t="str">
        <f t="shared" si="6"/>
        <v xml:space="preserve"> </v>
      </c>
      <c r="I70" s="51" t="str">
        <f t="shared" si="1"/>
        <v xml:space="preserve"> </v>
      </c>
      <c r="J70" s="51" t="str">
        <f t="shared" si="0"/>
        <v xml:space="preserve"> </v>
      </c>
      <c r="K70" s="51" t="str">
        <f t="shared" si="2"/>
        <v/>
      </c>
      <c r="L70" s="106" t="str">
        <f t="shared" si="7"/>
        <v xml:space="preserve"> </v>
      </c>
      <c r="M70" s="106" t="str">
        <f t="shared" si="3"/>
        <v xml:space="preserve"> </v>
      </c>
      <c r="N70" s="51" t="str">
        <f t="shared" si="4"/>
        <v xml:space="preserve"> </v>
      </c>
      <c r="O70" s="51"/>
      <c r="P70" s="51" t="str">
        <f t="shared" si="5"/>
        <v xml:space="preserve"> </v>
      </c>
    </row>
    <row r="71" spans="2:24" ht="15" x14ac:dyDescent="0.25">
      <c r="C71" s="41" t="s">
        <v>79</v>
      </c>
      <c r="H71" s="50" t="str">
        <f t="shared" si="6"/>
        <v xml:space="preserve"> </v>
      </c>
      <c r="I71" s="51" t="str">
        <f t="shared" si="1"/>
        <v xml:space="preserve"> </v>
      </c>
      <c r="J71" s="51" t="str">
        <f t="shared" si="0"/>
        <v xml:space="preserve"> </v>
      </c>
      <c r="K71" s="51" t="str">
        <f t="shared" si="2"/>
        <v/>
      </c>
      <c r="L71" s="106" t="str">
        <f t="shared" si="7"/>
        <v xml:space="preserve"> </v>
      </c>
      <c r="M71" s="106" t="str">
        <f t="shared" si="3"/>
        <v xml:space="preserve"> </v>
      </c>
      <c r="N71" s="51" t="str">
        <f t="shared" si="4"/>
        <v xml:space="preserve"> </v>
      </c>
      <c r="O71" s="51"/>
      <c r="P71" s="51" t="str">
        <f t="shared" si="5"/>
        <v xml:space="preserve"> </v>
      </c>
    </row>
    <row r="72" spans="2:24" ht="15" x14ac:dyDescent="0.25">
      <c r="C72" s="41" t="s">
        <v>82</v>
      </c>
      <c r="H72" s="50" t="str">
        <f t="shared" si="6"/>
        <v xml:space="preserve"> </v>
      </c>
      <c r="I72" s="51" t="str">
        <f t="shared" si="1"/>
        <v xml:space="preserve"> </v>
      </c>
      <c r="J72" s="51" t="str">
        <f t="shared" si="0"/>
        <v xml:space="preserve"> </v>
      </c>
      <c r="K72" s="51" t="str">
        <f t="shared" si="2"/>
        <v/>
      </c>
      <c r="L72" s="106" t="str">
        <f t="shared" si="7"/>
        <v xml:space="preserve"> </v>
      </c>
      <c r="M72" s="106" t="str">
        <f t="shared" si="3"/>
        <v xml:space="preserve"> </v>
      </c>
      <c r="N72" s="51" t="str">
        <f t="shared" si="4"/>
        <v xml:space="preserve"> </v>
      </c>
      <c r="O72" s="51"/>
      <c r="P72" s="51" t="str">
        <f t="shared" si="5"/>
        <v xml:space="preserve"> </v>
      </c>
    </row>
    <row r="73" spans="2:24" ht="15" x14ac:dyDescent="0.25">
      <c r="C73" s="83" t="s">
        <v>80</v>
      </c>
      <c r="H73" s="50" t="str">
        <f t="shared" si="6"/>
        <v xml:space="preserve"> </v>
      </c>
      <c r="I73" s="51" t="str">
        <f t="shared" si="1"/>
        <v xml:space="preserve"> </v>
      </c>
      <c r="J73" s="51" t="str">
        <f t="shared" si="0"/>
        <v xml:space="preserve"> </v>
      </c>
      <c r="K73" s="51" t="str">
        <f t="shared" si="2"/>
        <v/>
      </c>
      <c r="L73" s="106" t="str">
        <f t="shared" si="7"/>
        <v xml:space="preserve"> </v>
      </c>
      <c r="M73" s="106" t="str">
        <f t="shared" si="3"/>
        <v xml:space="preserve"> </v>
      </c>
      <c r="N73" s="51" t="str">
        <f t="shared" si="4"/>
        <v xml:space="preserve"> </v>
      </c>
      <c r="O73" s="51"/>
      <c r="P73" s="51" t="str">
        <f t="shared" si="5"/>
        <v xml:space="preserve"> </v>
      </c>
    </row>
    <row r="74" spans="2:24" ht="15" x14ac:dyDescent="0.25">
      <c r="H74" s="50" t="str">
        <f t="shared" si="6"/>
        <v xml:space="preserve"> </v>
      </c>
      <c r="I74" s="51" t="str">
        <f t="shared" si="1"/>
        <v xml:space="preserve"> </v>
      </c>
      <c r="J74" s="51" t="str">
        <f t="shared" si="0"/>
        <v xml:space="preserve"> </v>
      </c>
      <c r="K74" s="51" t="str">
        <f t="shared" si="2"/>
        <v/>
      </c>
      <c r="L74" s="106" t="str">
        <f t="shared" si="7"/>
        <v xml:space="preserve"> </v>
      </c>
      <c r="M74" s="106" t="str">
        <f t="shared" si="3"/>
        <v xml:space="preserve"> </v>
      </c>
      <c r="N74" s="51" t="str">
        <f t="shared" si="4"/>
        <v xml:space="preserve"> </v>
      </c>
      <c r="O74" s="51"/>
      <c r="P74" s="51" t="str">
        <f t="shared" si="5"/>
        <v xml:space="preserve"> </v>
      </c>
    </row>
    <row r="75" spans="2:24" ht="15" x14ac:dyDescent="0.25">
      <c r="H75" s="50" t="str">
        <f t="shared" si="6"/>
        <v xml:space="preserve"> </v>
      </c>
      <c r="I75" s="51" t="str">
        <f t="shared" si="1"/>
        <v xml:space="preserve"> </v>
      </c>
      <c r="J75" s="51" t="str">
        <f t="shared" si="0"/>
        <v xml:space="preserve"> </v>
      </c>
      <c r="K75" s="51" t="str">
        <f t="shared" si="2"/>
        <v/>
      </c>
      <c r="L75" s="106" t="str">
        <f t="shared" si="7"/>
        <v xml:space="preserve"> </v>
      </c>
      <c r="M75" s="106" t="str">
        <f t="shared" si="3"/>
        <v xml:space="preserve"> </v>
      </c>
      <c r="N75" s="51" t="str">
        <f t="shared" si="4"/>
        <v xml:space="preserve"> </v>
      </c>
      <c r="O75" s="51"/>
      <c r="P75" s="51" t="str">
        <f t="shared" si="5"/>
        <v xml:space="preserve"> </v>
      </c>
    </row>
    <row r="76" spans="2:24" ht="15" x14ac:dyDescent="0.25">
      <c r="H76" s="50" t="str">
        <f t="shared" si="6"/>
        <v xml:space="preserve"> </v>
      </c>
      <c r="I76" s="51" t="str">
        <f t="shared" si="1"/>
        <v xml:space="preserve"> </v>
      </c>
      <c r="J76" s="51" t="str">
        <f t="shared" si="0"/>
        <v xml:space="preserve"> </v>
      </c>
      <c r="K76" s="51" t="str">
        <f t="shared" si="2"/>
        <v/>
      </c>
      <c r="L76" s="106" t="str">
        <f t="shared" si="7"/>
        <v xml:space="preserve"> </v>
      </c>
      <c r="M76" s="106" t="str">
        <f t="shared" si="3"/>
        <v xml:space="preserve"> </v>
      </c>
      <c r="N76" s="51" t="str">
        <f t="shared" si="4"/>
        <v xml:space="preserve"> </v>
      </c>
      <c r="O76" s="51"/>
      <c r="P76" s="51" t="str">
        <f t="shared" si="5"/>
        <v xml:space="preserve"> </v>
      </c>
    </row>
    <row r="77" spans="2:24" ht="15" x14ac:dyDescent="0.25">
      <c r="H77" s="50" t="str">
        <f t="shared" si="6"/>
        <v xml:space="preserve"> </v>
      </c>
      <c r="I77" s="51" t="str">
        <f t="shared" si="1"/>
        <v xml:space="preserve"> </v>
      </c>
      <c r="J77" s="51" t="str">
        <f t="shared" si="0"/>
        <v xml:space="preserve"> </v>
      </c>
      <c r="K77" s="51" t="str">
        <f t="shared" si="2"/>
        <v/>
      </c>
      <c r="L77" s="106" t="str">
        <f t="shared" si="7"/>
        <v xml:space="preserve"> </v>
      </c>
      <c r="M77" s="106" t="str">
        <f t="shared" si="3"/>
        <v xml:space="preserve"> </v>
      </c>
      <c r="N77" s="51" t="str">
        <f t="shared" si="4"/>
        <v xml:space="preserve"> </v>
      </c>
      <c r="O77" s="51"/>
      <c r="P77" s="51" t="str">
        <f t="shared" si="5"/>
        <v xml:space="preserve"> </v>
      </c>
    </row>
    <row r="78" spans="2:24" ht="15" x14ac:dyDescent="0.25">
      <c r="H78" s="50" t="str">
        <f t="shared" si="6"/>
        <v xml:space="preserve"> </v>
      </c>
      <c r="I78" s="51" t="str">
        <f t="shared" si="1"/>
        <v xml:space="preserve"> </v>
      </c>
      <c r="J78" s="51" t="str">
        <f t="shared" si="0"/>
        <v xml:space="preserve"> </v>
      </c>
      <c r="K78" s="51" t="str">
        <f t="shared" si="2"/>
        <v/>
      </c>
      <c r="L78" s="106" t="str">
        <f t="shared" si="7"/>
        <v xml:space="preserve"> </v>
      </c>
      <c r="M78" s="106" t="str">
        <f t="shared" si="3"/>
        <v xml:space="preserve"> </v>
      </c>
      <c r="N78" s="51" t="str">
        <f t="shared" si="4"/>
        <v xml:space="preserve"> </v>
      </c>
      <c r="O78" s="51"/>
      <c r="P78" s="51" t="str">
        <f t="shared" si="5"/>
        <v xml:space="preserve"> </v>
      </c>
    </row>
    <row r="79" spans="2:24" ht="15" x14ac:dyDescent="0.25">
      <c r="H79" s="50" t="str">
        <f t="shared" si="6"/>
        <v xml:space="preserve"> </v>
      </c>
      <c r="I79" s="51" t="str">
        <f t="shared" si="1"/>
        <v xml:space="preserve"> </v>
      </c>
      <c r="J79" s="51" t="str">
        <f t="shared" si="0"/>
        <v xml:space="preserve"> </v>
      </c>
      <c r="K79" s="51" t="str">
        <f t="shared" si="2"/>
        <v/>
      </c>
      <c r="L79" s="106" t="str">
        <f t="shared" si="7"/>
        <v xml:space="preserve"> </v>
      </c>
      <c r="M79" s="106" t="str">
        <f t="shared" si="3"/>
        <v xml:space="preserve"> </v>
      </c>
      <c r="N79" s="51" t="str">
        <f t="shared" si="4"/>
        <v xml:space="preserve"> </v>
      </c>
      <c r="O79" s="51"/>
      <c r="P79" s="51" t="str">
        <f t="shared" si="5"/>
        <v xml:space="preserve"> </v>
      </c>
    </row>
    <row r="80" spans="2:24" ht="15" x14ac:dyDescent="0.25">
      <c r="H80" s="50" t="str">
        <f t="shared" si="6"/>
        <v xml:space="preserve"> </v>
      </c>
      <c r="I80" s="51" t="str">
        <f t="shared" si="1"/>
        <v xml:space="preserve"> </v>
      </c>
      <c r="J80" s="51" t="str">
        <f t="shared" si="0"/>
        <v xml:space="preserve"> </v>
      </c>
      <c r="K80" s="51" t="str">
        <f t="shared" si="2"/>
        <v/>
      </c>
      <c r="L80" s="106" t="str">
        <f t="shared" si="7"/>
        <v xml:space="preserve"> </v>
      </c>
      <c r="M80" s="106" t="str">
        <f t="shared" si="3"/>
        <v xml:space="preserve"> </v>
      </c>
      <c r="N80" s="51" t="str">
        <f t="shared" si="4"/>
        <v xml:space="preserve"> </v>
      </c>
      <c r="O80" s="51"/>
      <c r="P80" s="51" t="str">
        <f t="shared" si="5"/>
        <v xml:space="preserve"> </v>
      </c>
    </row>
    <row r="81" spans="8:21" ht="15" x14ac:dyDescent="0.25">
      <c r="H81" s="50" t="str">
        <f t="shared" si="6"/>
        <v xml:space="preserve"> </v>
      </c>
      <c r="I81" s="51" t="str">
        <f t="shared" si="1"/>
        <v xml:space="preserve"> </v>
      </c>
      <c r="J81" s="51" t="str">
        <f t="shared" si="0"/>
        <v xml:space="preserve"> </v>
      </c>
      <c r="K81" s="51" t="str">
        <f t="shared" si="2"/>
        <v/>
      </c>
      <c r="L81" s="106" t="str">
        <f t="shared" si="7"/>
        <v xml:space="preserve"> </v>
      </c>
      <c r="M81" s="106" t="str">
        <f t="shared" si="3"/>
        <v xml:space="preserve"> </v>
      </c>
      <c r="N81" s="51" t="str">
        <f t="shared" si="4"/>
        <v xml:space="preserve"> </v>
      </c>
      <c r="O81" s="51"/>
      <c r="P81" s="51" t="str">
        <f t="shared" si="5"/>
        <v xml:space="preserve"> </v>
      </c>
    </row>
    <row r="82" spans="8:21" ht="15" x14ac:dyDescent="0.25">
      <c r="H82" s="50" t="str">
        <f t="shared" si="6"/>
        <v xml:space="preserve"> </v>
      </c>
      <c r="I82" s="51" t="str">
        <f t="shared" si="1"/>
        <v xml:space="preserve"> </v>
      </c>
      <c r="J82" s="51" t="str">
        <f t="shared" ref="J82:J145" si="8">IFERROR(IF(I82&lt;&gt;0,(I81-I82+(I81*$D$35*30/360))," ")," ")</f>
        <v xml:space="preserve"> </v>
      </c>
      <c r="K82" s="51" t="str">
        <f t="shared" si="2"/>
        <v/>
      </c>
      <c r="L82" s="106" t="str">
        <f t="shared" si="7"/>
        <v xml:space="preserve"> </v>
      </c>
      <c r="M82" s="106" t="str">
        <f t="shared" si="3"/>
        <v xml:space="preserve"> </v>
      </c>
      <c r="N82" s="51" t="str">
        <f t="shared" si="4"/>
        <v xml:space="preserve"> </v>
      </c>
      <c r="O82" s="51"/>
      <c r="P82" s="51" t="str">
        <f t="shared" si="5"/>
        <v xml:space="preserve"> </v>
      </c>
    </row>
    <row r="83" spans="8:21" ht="15" x14ac:dyDescent="0.25">
      <c r="H83" s="50" t="str">
        <f t="shared" si="6"/>
        <v xml:space="preserve"> </v>
      </c>
      <c r="I83" s="51" t="str">
        <f t="shared" ref="I83:I146" si="9">IF(H83&lt;=$U$17,N83*$D$37," ")</f>
        <v xml:space="preserve"> </v>
      </c>
      <c r="J83" s="51" t="str">
        <f t="shared" si="8"/>
        <v xml:space="preserve"> </v>
      </c>
      <c r="K83" s="51" t="str">
        <f t="shared" ref="K83:K146" si="10">IF(H82&lt;=$U$17,IF(credito="Francesa",IF(H83&lt;=$U$17,$K82,0),IF(credito="Alemana",IF(H83&lt;=$U$17,L83+M83,0))),"")</f>
        <v/>
      </c>
      <c r="L83" s="106" t="str">
        <f t="shared" si="7"/>
        <v xml:space="preserve"> </v>
      </c>
      <c r="M83" s="106" t="str">
        <f t="shared" ref="M83:M146" si="11">IF(H83&lt;=$U$17,IF(credito="Francesa",K83-L83,IF(credito="Alemana",IF(H83&lt;=$U$17,$M82,0)))," ")</f>
        <v xml:space="preserve"> </v>
      </c>
      <c r="N83" s="51" t="str">
        <f t="shared" ref="N83:N146" si="12">IF(H83&lt;=$U$17,N82-M83," ")</f>
        <v xml:space="preserve"> </v>
      </c>
      <c r="O83" s="51"/>
      <c r="P83" s="51" t="str">
        <f t="shared" ref="P83:P146" si="13">IFERROR(SUM(IF(H83&lt;=$U$17,-K83," "),J83)," ")</f>
        <v xml:space="preserve"> </v>
      </c>
    </row>
    <row r="84" spans="8:21" ht="15" x14ac:dyDescent="0.25">
      <c r="H84" s="50" t="str">
        <f t="shared" ref="H84:H147" si="14">IF($H83&gt;=$U$17," ",H83+1)</f>
        <v xml:space="preserve"> </v>
      </c>
      <c r="I84" s="51" t="str">
        <f t="shared" si="9"/>
        <v xml:space="preserve"> </v>
      </c>
      <c r="J84" s="51" t="str">
        <f t="shared" si="8"/>
        <v xml:space="preserve"> </v>
      </c>
      <c r="K84" s="51" t="str">
        <f t="shared" si="10"/>
        <v/>
      </c>
      <c r="L84" s="106" t="str">
        <f t="shared" ref="L84:L147" si="15">IF(H84&lt;=$U$17,N83*$D$28/$D$24," ")</f>
        <v xml:space="preserve"> </v>
      </c>
      <c r="M84" s="106" t="str">
        <f t="shared" si="11"/>
        <v xml:space="preserve"> </v>
      </c>
      <c r="N84" s="51" t="str">
        <f t="shared" si="12"/>
        <v xml:space="preserve"> </v>
      </c>
      <c r="O84" s="51"/>
      <c r="P84" s="51" t="str">
        <f t="shared" si="13"/>
        <v xml:space="preserve"> </v>
      </c>
    </row>
    <row r="85" spans="8:21" ht="15" x14ac:dyDescent="0.25">
      <c r="H85" s="50" t="str">
        <f t="shared" si="14"/>
        <v xml:space="preserve"> </v>
      </c>
      <c r="I85" s="51" t="str">
        <f t="shared" si="9"/>
        <v xml:space="preserve"> </v>
      </c>
      <c r="J85" s="51" t="str">
        <f t="shared" si="8"/>
        <v xml:space="preserve"> </v>
      </c>
      <c r="K85" s="51" t="str">
        <f t="shared" si="10"/>
        <v/>
      </c>
      <c r="L85" s="106" t="str">
        <f t="shared" si="15"/>
        <v xml:space="preserve"> </v>
      </c>
      <c r="M85" s="106" t="str">
        <f t="shared" si="11"/>
        <v xml:space="preserve"> </v>
      </c>
      <c r="N85" s="51" t="str">
        <f t="shared" si="12"/>
        <v xml:space="preserve"> </v>
      </c>
      <c r="O85" s="51"/>
      <c r="P85" s="51" t="str">
        <f t="shared" si="13"/>
        <v xml:space="preserve"> </v>
      </c>
    </row>
    <row r="86" spans="8:21" ht="15" x14ac:dyDescent="0.25">
      <c r="H86" s="50" t="str">
        <f t="shared" si="14"/>
        <v xml:space="preserve"> </v>
      </c>
      <c r="I86" s="51" t="str">
        <f t="shared" si="9"/>
        <v xml:space="preserve"> </v>
      </c>
      <c r="J86" s="51" t="str">
        <f t="shared" si="8"/>
        <v xml:space="preserve"> </v>
      </c>
      <c r="K86" s="51" t="str">
        <f t="shared" si="10"/>
        <v/>
      </c>
      <c r="L86" s="106" t="str">
        <f t="shared" si="15"/>
        <v xml:space="preserve"> </v>
      </c>
      <c r="M86" s="106" t="str">
        <f t="shared" si="11"/>
        <v xml:space="preserve"> </v>
      </c>
      <c r="N86" s="51" t="str">
        <f t="shared" si="12"/>
        <v xml:space="preserve"> </v>
      </c>
      <c r="O86" s="51"/>
      <c r="P86" s="51" t="str">
        <f t="shared" si="13"/>
        <v xml:space="preserve"> </v>
      </c>
    </row>
    <row r="87" spans="8:21" ht="15" x14ac:dyDescent="0.25">
      <c r="H87" s="50" t="str">
        <f t="shared" si="14"/>
        <v xml:space="preserve"> </v>
      </c>
      <c r="I87" s="51" t="str">
        <f t="shared" si="9"/>
        <v xml:space="preserve"> </v>
      </c>
      <c r="J87" s="51" t="str">
        <f t="shared" si="8"/>
        <v xml:space="preserve"> </v>
      </c>
      <c r="K87" s="51" t="str">
        <f t="shared" si="10"/>
        <v/>
      </c>
      <c r="L87" s="106" t="str">
        <f t="shared" si="15"/>
        <v xml:space="preserve"> </v>
      </c>
      <c r="M87" s="106" t="str">
        <f t="shared" si="11"/>
        <v xml:space="preserve"> </v>
      </c>
      <c r="N87" s="51" t="str">
        <f t="shared" si="12"/>
        <v xml:space="preserve"> </v>
      </c>
      <c r="O87" s="51"/>
      <c r="P87" s="51" t="str">
        <f t="shared" si="13"/>
        <v xml:space="preserve"> </v>
      </c>
    </row>
    <row r="88" spans="8:21" ht="28.5" x14ac:dyDescent="0.45">
      <c r="H88" s="50" t="str">
        <f t="shared" si="14"/>
        <v xml:space="preserve"> </v>
      </c>
      <c r="I88" s="51" t="str">
        <f t="shared" si="9"/>
        <v xml:space="preserve"> </v>
      </c>
      <c r="J88" s="51" t="str">
        <f t="shared" si="8"/>
        <v xml:space="preserve"> </v>
      </c>
      <c r="K88" s="51" t="str">
        <f t="shared" si="10"/>
        <v/>
      </c>
      <c r="L88" s="106" t="str">
        <f t="shared" si="15"/>
        <v xml:space="preserve"> </v>
      </c>
      <c r="M88" s="106" t="str">
        <f t="shared" si="11"/>
        <v xml:space="preserve"> </v>
      </c>
      <c r="N88" s="51" t="str">
        <f t="shared" si="12"/>
        <v xml:space="preserve"> </v>
      </c>
      <c r="O88" s="51"/>
      <c r="P88" s="51" t="str">
        <f t="shared" si="13"/>
        <v xml:space="preserve"> </v>
      </c>
      <c r="T88" s="185"/>
      <c r="U88" s="185"/>
    </row>
    <row r="89" spans="8:21" ht="15" x14ac:dyDescent="0.25">
      <c r="H89" s="50" t="str">
        <f t="shared" si="14"/>
        <v xml:space="preserve"> </v>
      </c>
      <c r="I89" s="51" t="str">
        <f t="shared" si="9"/>
        <v xml:space="preserve"> </v>
      </c>
      <c r="J89" s="51" t="str">
        <f t="shared" si="8"/>
        <v xml:space="preserve"> </v>
      </c>
      <c r="K89" s="51" t="str">
        <f t="shared" si="10"/>
        <v/>
      </c>
      <c r="L89" s="106" t="str">
        <f t="shared" si="15"/>
        <v xml:space="preserve"> </v>
      </c>
      <c r="M89" s="106" t="str">
        <f t="shared" si="11"/>
        <v xml:space="preserve"> </v>
      </c>
      <c r="N89" s="51" t="str">
        <f t="shared" si="12"/>
        <v xml:space="preserve"> </v>
      </c>
      <c r="O89" s="51"/>
      <c r="P89" s="51" t="str">
        <f t="shared" si="13"/>
        <v xml:space="preserve"> </v>
      </c>
    </row>
    <row r="90" spans="8:21" ht="15" x14ac:dyDescent="0.25">
      <c r="H90" s="50" t="str">
        <f t="shared" si="14"/>
        <v xml:space="preserve"> </v>
      </c>
      <c r="I90" s="51" t="str">
        <f t="shared" si="9"/>
        <v xml:space="preserve"> </v>
      </c>
      <c r="J90" s="51" t="str">
        <f t="shared" si="8"/>
        <v xml:space="preserve"> </v>
      </c>
      <c r="K90" s="51" t="str">
        <f t="shared" si="10"/>
        <v/>
      </c>
      <c r="L90" s="106" t="str">
        <f t="shared" si="15"/>
        <v xml:space="preserve"> </v>
      </c>
      <c r="M90" s="106" t="str">
        <f t="shared" si="11"/>
        <v xml:space="preserve"> </v>
      </c>
      <c r="N90" s="51" t="str">
        <f t="shared" si="12"/>
        <v xml:space="preserve"> </v>
      </c>
      <c r="O90" s="51"/>
      <c r="P90" s="51" t="str">
        <f t="shared" si="13"/>
        <v xml:space="preserve"> </v>
      </c>
    </row>
    <row r="91" spans="8:21" ht="15" x14ac:dyDescent="0.25">
      <c r="H91" s="50" t="str">
        <f t="shared" si="14"/>
        <v xml:space="preserve"> </v>
      </c>
      <c r="I91" s="51" t="str">
        <f t="shared" si="9"/>
        <v xml:space="preserve"> </v>
      </c>
      <c r="J91" s="51" t="str">
        <f t="shared" si="8"/>
        <v xml:space="preserve"> </v>
      </c>
      <c r="K91" s="51" t="str">
        <f t="shared" si="10"/>
        <v/>
      </c>
      <c r="L91" s="106" t="str">
        <f t="shared" si="15"/>
        <v xml:space="preserve"> </v>
      </c>
      <c r="M91" s="106" t="str">
        <f t="shared" si="11"/>
        <v xml:space="preserve"> </v>
      </c>
      <c r="N91" s="51" t="str">
        <f t="shared" si="12"/>
        <v xml:space="preserve"> </v>
      </c>
      <c r="O91" s="51"/>
      <c r="P91" s="51" t="str">
        <f t="shared" si="13"/>
        <v xml:space="preserve"> </v>
      </c>
    </row>
    <row r="92" spans="8:21" ht="15" x14ac:dyDescent="0.25">
      <c r="H92" s="50" t="str">
        <f t="shared" si="14"/>
        <v xml:space="preserve"> </v>
      </c>
      <c r="I92" s="51" t="str">
        <f t="shared" si="9"/>
        <v xml:space="preserve"> </v>
      </c>
      <c r="J92" s="51" t="str">
        <f t="shared" si="8"/>
        <v xml:space="preserve"> </v>
      </c>
      <c r="K92" s="51" t="str">
        <f t="shared" si="10"/>
        <v/>
      </c>
      <c r="L92" s="106" t="str">
        <f t="shared" si="15"/>
        <v xml:space="preserve"> </v>
      </c>
      <c r="M92" s="106" t="str">
        <f t="shared" si="11"/>
        <v xml:space="preserve"> </v>
      </c>
      <c r="N92" s="51" t="str">
        <f t="shared" si="12"/>
        <v xml:space="preserve"> </v>
      </c>
      <c r="O92" s="51"/>
      <c r="P92" s="51" t="str">
        <f t="shared" si="13"/>
        <v xml:space="preserve"> </v>
      </c>
    </row>
    <row r="93" spans="8:21" ht="15" x14ac:dyDescent="0.25">
      <c r="H93" s="50" t="str">
        <f t="shared" si="14"/>
        <v xml:space="preserve"> </v>
      </c>
      <c r="I93" s="51" t="str">
        <f t="shared" si="9"/>
        <v xml:space="preserve"> </v>
      </c>
      <c r="J93" s="51" t="str">
        <f t="shared" si="8"/>
        <v xml:space="preserve"> </v>
      </c>
      <c r="K93" s="51" t="str">
        <f t="shared" si="10"/>
        <v/>
      </c>
      <c r="L93" s="106" t="str">
        <f t="shared" si="15"/>
        <v xml:space="preserve"> </v>
      </c>
      <c r="M93" s="106" t="str">
        <f t="shared" si="11"/>
        <v xml:space="preserve"> </v>
      </c>
      <c r="N93" s="51" t="str">
        <f t="shared" si="12"/>
        <v xml:space="preserve"> </v>
      </c>
      <c r="O93" s="51"/>
      <c r="P93" s="51" t="str">
        <f t="shared" si="13"/>
        <v xml:space="preserve"> </v>
      </c>
    </row>
    <row r="94" spans="8:21" ht="15" x14ac:dyDescent="0.25">
      <c r="H94" s="50" t="str">
        <f t="shared" si="14"/>
        <v xml:space="preserve"> </v>
      </c>
      <c r="I94" s="51" t="str">
        <f t="shared" si="9"/>
        <v xml:space="preserve"> </v>
      </c>
      <c r="J94" s="51" t="str">
        <f t="shared" si="8"/>
        <v xml:space="preserve"> </v>
      </c>
      <c r="K94" s="51" t="str">
        <f t="shared" si="10"/>
        <v/>
      </c>
      <c r="L94" s="106" t="str">
        <f t="shared" si="15"/>
        <v xml:space="preserve"> </v>
      </c>
      <c r="M94" s="106" t="str">
        <f t="shared" si="11"/>
        <v xml:space="preserve"> </v>
      </c>
      <c r="N94" s="51" t="str">
        <f t="shared" si="12"/>
        <v xml:space="preserve"> </v>
      </c>
      <c r="O94" s="51"/>
      <c r="P94" s="51" t="str">
        <f t="shared" si="13"/>
        <v xml:space="preserve"> </v>
      </c>
    </row>
    <row r="95" spans="8:21" ht="15" x14ac:dyDescent="0.25">
      <c r="H95" s="50" t="str">
        <f t="shared" si="14"/>
        <v xml:space="preserve"> </v>
      </c>
      <c r="I95" s="51" t="str">
        <f t="shared" si="9"/>
        <v xml:space="preserve"> </v>
      </c>
      <c r="J95" s="51" t="str">
        <f t="shared" si="8"/>
        <v xml:space="preserve"> </v>
      </c>
      <c r="K95" s="51" t="str">
        <f t="shared" si="10"/>
        <v/>
      </c>
      <c r="L95" s="106" t="str">
        <f t="shared" si="15"/>
        <v xml:space="preserve"> </v>
      </c>
      <c r="M95" s="106" t="str">
        <f t="shared" si="11"/>
        <v xml:space="preserve"> </v>
      </c>
      <c r="N95" s="51" t="str">
        <f t="shared" si="12"/>
        <v xml:space="preserve"> </v>
      </c>
      <c r="O95" s="51"/>
      <c r="P95" s="51" t="str">
        <f t="shared" si="13"/>
        <v xml:space="preserve"> </v>
      </c>
    </row>
    <row r="96" spans="8:21" ht="15" x14ac:dyDescent="0.25">
      <c r="H96" s="50" t="str">
        <f t="shared" si="14"/>
        <v xml:space="preserve"> </v>
      </c>
      <c r="I96" s="51" t="str">
        <f t="shared" si="9"/>
        <v xml:space="preserve"> </v>
      </c>
      <c r="J96" s="51" t="str">
        <f t="shared" si="8"/>
        <v xml:space="preserve"> </v>
      </c>
      <c r="K96" s="51" t="str">
        <f t="shared" si="10"/>
        <v/>
      </c>
      <c r="L96" s="106" t="str">
        <f t="shared" si="15"/>
        <v xml:space="preserve"> </v>
      </c>
      <c r="M96" s="106" t="str">
        <f t="shared" si="11"/>
        <v xml:space="preserve"> </v>
      </c>
      <c r="N96" s="51" t="str">
        <f t="shared" si="12"/>
        <v xml:space="preserve"> </v>
      </c>
      <c r="O96" s="51"/>
      <c r="P96" s="51" t="str">
        <f t="shared" si="13"/>
        <v xml:space="preserve"> </v>
      </c>
    </row>
    <row r="97" spans="8:16" ht="15" x14ac:dyDescent="0.25">
      <c r="H97" s="50" t="str">
        <f t="shared" si="14"/>
        <v xml:space="preserve"> </v>
      </c>
      <c r="I97" s="51" t="str">
        <f t="shared" si="9"/>
        <v xml:space="preserve"> </v>
      </c>
      <c r="J97" s="51" t="str">
        <f t="shared" si="8"/>
        <v xml:space="preserve"> </v>
      </c>
      <c r="K97" s="51" t="str">
        <f t="shared" si="10"/>
        <v/>
      </c>
      <c r="L97" s="106" t="str">
        <f t="shared" si="15"/>
        <v xml:space="preserve"> </v>
      </c>
      <c r="M97" s="106" t="str">
        <f t="shared" si="11"/>
        <v xml:space="preserve"> </v>
      </c>
      <c r="N97" s="51" t="str">
        <f t="shared" si="12"/>
        <v xml:space="preserve"> </v>
      </c>
      <c r="O97" s="51"/>
      <c r="P97" s="51" t="str">
        <f t="shared" si="13"/>
        <v xml:space="preserve"> </v>
      </c>
    </row>
    <row r="98" spans="8:16" ht="15" x14ac:dyDescent="0.25">
      <c r="H98" s="50" t="str">
        <f t="shared" si="14"/>
        <v xml:space="preserve"> </v>
      </c>
      <c r="I98" s="51" t="str">
        <f t="shared" si="9"/>
        <v xml:space="preserve"> </v>
      </c>
      <c r="J98" s="51" t="str">
        <f t="shared" si="8"/>
        <v xml:space="preserve"> </v>
      </c>
      <c r="K98" s="51" t="str">
        <f t="shared" si="10"/>
        <v/>
      </c>
      <c r="L98" s="106" t="str">
        <f t="shared" si="15"/>
        <v xml:space="preserve"> </v>
      </c>
      <c r="M98" s="106" t="str">
        <f t="shared" si="11"/>
        <v xml:space="preserve"> </v>
      </c>
      <c r="N98" s="51" t="str">
        <f t="shared" si="12"/>
        <v xml:space="preserve"> </v>
      </c>
      <c r="O98" s="51"/>
      <c r="P98" s="51" t="str">
        <f t="shared" si="13"/>
        <v xml:space="preserve"> </v>
      </c>
    </row>
    <row r="99" spans="8:16" ht="15" x14ac:dyDescent="0.25">
      <c r="H99" s="50" t="str">
        <f t="shared" si="14"/>
        <v xml:space="preserve"> </v>
      </c>
      <c r="I99" s="51" t="str">
        <f t="shared" si="9"/>
        <v xml:space="preserve"> </v>
      </c>
      <c r="J99" s="51" t="str">
        <f t="shared" si="8"/>
        <v xml:space="preserve"> </v>
      </c>
      <c r="K99" s="51" t="str">
        <f t="shared" si="10"/>
        <v/>
      </c>
      <c r="L99" s="106" t="str">
        <f t="shared" si="15"/>
        <v xml:space="preserve"> </v>
      </c>
      <c r="M99" s="106" t="str">
        <f t="shared" si="11"/>
        <v xml:space="preserve"> </v>
      </c>
      <c r="N99" s="51" t="str">
        <f t="shared" si="12"/>
        <v xml:space="preserve"> </v>
      </c>
      <c r="O99" s="51"/>
      <c r="P99" s="51" t="str">
        <f t="shared" si="13"/>
        <v xml:space="preserve"> </v>
      </c>
    </row>
    <row r="100" spans="8:16" ht="15" x14ac:dyDescent="0.25">
      <c r="H100" s="50" t="str">
        <f t="shared" si="14"/>
        <v xml:space="preserve"> </v>
      </c>
      <c r="I100" s="51" t="str">
        <f t="shared" si="9"/>
        <v xml:space="preserve"> </v>
      </c>
      <c r="J100" s="51" t="str">
        <f t="shared" si="8"/>
        <v xml:space="preserve"> </v>
      </c>
      <c r="K100" s="51" t="str">
        <f t="shared" si="10"/>
        <v/>
      </c>
      <c r="L100" s="106" t="str">
        <f t="shared" si="15"/>
        <v xml:space="preserve"> </v>
      </c>
      <c r="M100" s="106" t="str">
        <f t="shared" si="11"/>
        <v xml:space="preserve"> </v>
      </c>
      <c r="N100" s="51" t="str">
        <f t="shared" si="12"/>
        <v xml:space="preserve"> </v>
      </c>
      <c r="O100" s="51"/>
      <c r="P100" s="51" t="str">
        <f t="shared" si="13"/>
        <v xml:space="preserve"> </v>
      </c>
    </row>
    <row r="101" spans="8:16" ht="15" x14ac:dyDescent="0.25">
      <c r="H101" s="50" t="str">
        <f t="shared" si="14"/>
        <v xml:space="preserve"> </v>
      </c>
      <c r="I101" s="51" t="str">
        <f t="shared" si="9"/>
        <v xml:space="preserve"> </v>
      </c>
      <c r="J101" s="51" t="str">
        <f t="shared" si="8"/>
        <v xml:space="preserve"> </v>
      </c>
      <c r="K101" s="51" t="str">
        <f t="shared" si="10"/>
        <v/>
      </c>
      <c r="L101" s="106" t="str">
        <f t="shared" si="15"/>
        <v xml:space="preserve"> </v>
      </c>
      <c r="M101" s="106" t="str">
        <f t="shared" si="11"/>
        <v xml:space="preserve"> </v>
      </c>
      <c r="N101" s="51" t="str">
        <f t="shared" si="12"/>
        <v xml:space="preserve"> </v>
      </c>
      <c r="O101" s="51"/>
      <c r="P101" s="51" t="str">
        <f t="shared" si="13"/>
        <v xml:space="preserve"> </v>
      </c>
    </row>
    <row r="102" spans="8:16" ht="15" x14ac:dyDescent="0.25">
      <c r="H102" s="50" t="str">
        <f t="shared" si="14"/>
        <v xml:space="preserve"> </v>
      </c>
      <c r="I102" s="51" t="str">
        <f t="shared" si="9"/>
        <v xml:space="preserve"> </v>
      </c>
      <c r="J102" s="51" t="str">
        <f t="shared" si="8"/>
        <v xml:space="preserve"> </v>
      </c>
      <c r="K102" s="51" t="str">
        <f t="shared" si="10"/>
        <v/>
      </c>
      <c r="L102" s="106" t="str">
        <f t="shared" si="15"/>
        <v xml:space="preserve"> </v>
      </c>
      <c r="M102" s="106" t="str">
        <f t="shared" si="11"/>
        <v xml:space="preserve"> </v>
      </c>
      <c r="N102" s="51" t="str">
        <f t="shared" si="12"/>
        <v xml:space="preserve"> </v>
      </c>
      <c r="O102" s="51"/>
      <c r="P102" s="51" t="str">
        <f t="shared" si="13"/>
        <v xml:space="preserve"> </v>
      </c>
    </row>
    <row r="103" spans="8:16" ht="15" x14ac:dyDescent="0.25">
      <c r="H103" s="50" t="str">
        <f t="shared" si="14"/>
        <v xml:space="preserve"> </v>
      </c>
      <c r="I103" s="51" t="str">
        <f t="shared" si="9"/>
        <v xml:space="preserve"> </v>
      </c>
      <c r="J103" s="51" t="str">
        <f t="shared" si="8"/>
        <v xml:space="preserve"> </v>
      </c>
      <c r="K103" s="51" t="str">
        <f t="shared" si="10"/>
        <v/>
      </c>
      <c r="L103" s="106" t="str">
        <f t="shared" si="15"/>
        <v xml:space="preserve"> </v>
      </c>
      <c r="M103" s="106" t="str">
        <f t="shared" si="11"/>
        <v xml:space="preserve"> </v>
      </c>
      <c r="N103" s="51" t="str">
        <f t="shared" si="12"/>
        <v xml:space="preserve"> </v>
      </c>
      <c r="O103" s="51"/>
      <c r="P103" s="51" t="str">
        <f t="shared" si="13"/>
        <v xml:space="preserve"> </v>
      </c>
    </row>
    <row r="104" spans="8:16" ht="15" x14ac:dyDescent="0.25">
      <c r="H104" s="50" t="str">
        <f t="shared" si="14"/>
        <v xml:space="preserve"> </v>
      </c>
      <c r="I104" s="51" t="str">
        <f t="shared" si="9"/>
        <v xml:space="preserve"> </v>
      </c>
      <c r="J104" s="51" t="str">
        <f t="shared" si="8"/>
        <v xml:space="preserve"> </v>
      </c>
      <c r="K104" s="51" t="str">
        <f t="shared" si="10"/>
        <v/>
      </c>
      <c r="L104" s="106" t="str">
        <f t="shared" si="15"/>
        <v xml:space="preserve"> </v>
      </c>
      <c r="M104" s="106" t="str">
        <f t="shared" si="11"/>
        <v xml:space="preserve"> </v>
      </c>
      <c r="N104" s="51" t="str">
        <f t="shared" si="12"/>
        <v xml:space="preserve"> </v>
      </c>
      <c r="O104" s="51"/>
      <c r="P104" s="51" t="str">
        <f t="shared" si="13"/>
        <v xml:space="preserve"> </v>
      </c>
    </row>
    <row r="105" spans="8:16" ht="15" x14ac:dyDescent="0.25">
      <c r="H105" s="50" t="str">
        <f t="shared" si="14"/>
        <v xml:space="preserve"> </v>
      </c>
      <c r="I105" s="51" t="str">
        <f t="shared" si="9"/>
        <v xml:space="preserve"> </v>
      </c>
      <c r="J105" s="51" t="str">
        <f t="shared" si="8"/>
        <v xml:space="preserve"> </v>
      </c>
      <c r="K105" s="51" t="str">
        <f t="shared" si="10"/>
        <v/>
      </c>
      <c r="L105" s="106" t="str">
        <f t="shared" si="15"/>
        <v xml:space="preserve"> </v>
      </c>
      <c r="M105" s="106" t="str">
        <f t="shared" si="11"/>
        <v xml:space="preserve"> </v>
      </c>
      <c r="N105" s="51" t="str">
        <f t="shared" si="12"/>
        <v xml:space="preserve"> </v>
      </c>
      <c r="O105" s="51"/>
      <c r="P105" s="51" t="str">
        <f t="shared" si="13"/>
        <v xml:space="preserve"> </v>
      </c>
    </row>
    <row r="106" spans="8:16" ht="15" x14ac:dyDescent="0.25">
      <c r="H106" s="50" t="str">
        <f t="shared" si="14"/>
        <v xml:space="preserve"> </v>
      </c>
      <c r="I106" s="51" t="str">
        <f t="shared" si="9"/>
        <v xml:space="preserve"> </v>
      </c>
      <c r="J106" s="51" t="str">
        <f t="shared" si="8"/>
        <v xml:space="preserve"> </v>
      </c>
      <c r="K106" s="51" t="str">
        <f t="shared" si="10"/>
        <v/>
      </c>
      <c r="L106" s="106" t="str">
        <f t="shared" si="15"/>
        <v xml:space="preserve"> </v>
      </c>
      <c r="M106" s="106" t="str">
        <f t="shared" si="11"/>
        <v xml:space="preserve"> </v>
      </c>
      <c r="N106" s="51" t="str">
        <f t="shared" si="12"/>
        <v xml:space="preserve"> </v>
      </c>
      <c r="O106" s="51"/>
      <c r="P106" s="51" t="str">
        <f t="shared" si="13"/>
        <v xml:space="preserve"> </v>
      </c>
    </row>
    <row r="107" spans="8:16" ht="15" x14ac:dyDescent="0.25">
      <c r="H107" s="50" t="str">
        <f t="shared" si="14"/>
        <v xml:space="preserve"> </v>
      </c>
      <c r="I107" s="51" t="str">
        <f t="shared" si="9"/>
        <v xml:space="preserve"> </v>
      </c>
      <c r="J107" s="51" t="str">
        <f t="shared" si="8"/>
        <v xml:space="preserve"> </v>
      </c>
      <c r="K107" s="51" t="str">
        <f t="shared" si="10"/>
        <v/>
      </c>
      <c r="L107" s="106" t="str">
        <f t="shared" si="15"/>
        <v xml:space="preserve"> </v>
      </c>
      <c r="M107" s="106" t="str">
        <f t="shared" si="11"/>
        <v xml:space="preserve"> </v>
      </c>
      <c r="N107" s="51" t="str">
        <f t="shared" si="12"/>
        <v xml:space="preserve"> </v>
      </c>
      <c r="O107" s="51"/>
      <c r="P107" s="51" t="str">
        <f t="shared" si="13"/>
        <v xml:space="preserve"> </v>
      </c>
    </row>
    <row r="108" spans="8:16" ht="15" x14ac:dyDescent="0.25">
      <c r="H108" s="50" t="str">
        <f t="shared" si="14"/>
        <v xml:space="preserve"> </v>
      </c>
      <c r="I108" s="51" t="str">
        <f t="shared" si="9"/>
        <v xml:space="preserve"> </v>
      </c>
      <c r="J108" s="51" t="str">
        <f t="shared" si="8"/>
        <v xml:space="preserve"> </v>
      </c>
      <c r="K108" s="51" t="str">
        <f t="shared" si="10"/>
        <v/>
      </c>
      <c r="L108" s="106" t="str">
        <f t="shared" si="15"/>
        <v xml:space="preserve"> </v>
      </c>
      <c r="M108" s="106" t="str">
        <f t="shared" si="11"/>
        <v xml:space="preserve"> </v>
      </c>
      <c r="N108" s="51" t="str">
        <f t="shared" si="12"/>
        <v xml:space="preserve"> </v>
      </c>
      <c r="O108" s="51"/>
      <c r="P108" s="51" t="str">
        <f t="shared" si="13"/>
        <v xml:space="preserve"> </v>
      </c>
    </row>
    <row r="109" spans="8:16" ht="15" x14ac:dyDescent="0.25">
      <c r="H109" s="50" t="str">
        <f t="shared" si="14"/>
        <v xml:space="preserve"> </v>
      </c>
      <c r="I109" s="51" t="str">
        <f t="shared" si="9"/>
        <v xml:space="preserve"> </v>
      </c>
      <c r="J109" s="51" t="str">
        <f t="shared" si="8"/>
        <v xml:space="preserve"> </v>
      </c>
      <c r="K109" s="51" t="str">
        <f t="shared" si="10"/>
        <v/>
      </c>
      <c r="L109" s="106" t="str">
        <f t="shared" si="15"/>
        <v xml:space="preserve"> </v>
      </c>
      <c r="M109" s="106" t="str">
        <f t="shared" si="11"/>
        <v xml:space="preserve"> </v>
      </c>
      <c r="N109" s="51" t="str">
        <f t="shared" si="12"/>
        <v xml:space="preserve"> </v>
      </c>
      <c r="O109" s="51"/>
      <c r="P109" s="51" t="str">
        <f t="shared" si="13"/>
        <v xml:space="preserve"> </v>
      </c>
    </row>
    <row r="110" spans="8:16" ht="15" x14ac:dyDescent="0.25">
      <c r="H110" s="50" t="str">
        <f t="shared" si="14"/>
        <v xml:space="preserve"> </v>
      </c>
      <c r="I110" s="51" t="str">
        <f t="shared" si="9"/>
        <v xml:space="preserve"> </v>
      </c>
      <c r="J110" s="51" t="str">
        <f t="shared" si="8"/>
        <v xml:space="preserve"> </v>
      </c>
      <c r="K110" s="51" t="str">
        <f t="shared" si="10"/>
        <v/>
      </c>
      <c r="L110" s="106" t="str">
        <f t="shared" si="15"/>
        <v xml:space="preserve"> </v>
      </c>
      <c r="M110" s="106" t="str">
        <f t="shared" si="11"/>
        <v xml:space="preserve"> </v>
      </c>
      <c r="N110" s="51" t="str">
        <f t="shared" si="12"/>
        <v xml:space="preserve"> </v>
      </c>
      <c r="O110" s="51"/>
      <c r="P110" s="51" t="str">
        <f t="shared" si="13"/>
        <v xml:space="preserve"> </v>
      </c>
    </row>
    <row r="111" spans="8:16" ht="15" x14ac:dyDescent="0.25">
      <c r="H111" s="50" t="str">
        <f t="shared" si="14"/>
        <v xml:space="preserve"> </v>
      </c>
      <c r="I111" s="51" t="str">
        <f t="shared" si="9"/>
        <v xml:space="preserve"> </v>
      </c>
      <c r="J111" s="51" t="str">
        <f t="shared" si="8"/>
        <v xml:space="preserve"> </v>
      </c>
      <c r="K111" s="51" t="str">
        <f t="shared" si="10"/>
        <v/>
      </c>
      <c r="L111" s="106" t="str">
        <f t="shared" si="15"/>
        <v xml:space="preserve"> </v>
      </c>
      <c r="M111" s="106" t="str">
        <f t="shared" si="11"/>
        <v xml:space="preserve"> </v>
      </c>
      <c r="N111" s="51" t="str">
        <f t="shared" si="12"/>
        <v xml:space="preserve"> </v>
      </c>
      <c r="O111" s="51"/>
      <c r="P111" s="51" t="str">
        <f t="shared" si="13"/>
        <v xml:space="preserve"> </v>
      </c>
    </row>
    <row r="112" spans="8:16" ht="15" x14ac:dyDescent="0.25">
      <c r="H112" s="50" t="str">
        <f t="shared" si="14"/>
        <v xml:space="preserve"> </v>
      </c>
      <c r="I112" s="51" t="str">
        <f t="shared" si="9"/>
        <v xml:space="preserve"> </v>
      </c>
      <c r="J112" s="51" t="str">
        <f t="shared" si="8"/>
        <v xml:space="preserve"> </v>
      </c>
      <c r="K112" s="51" t="str">
        <f t="shared" si="10"/>
        <v/>
      </c>
      <c r="L112" s="106" t="str">
        <f t="shared" si="15"/>
        <v xml:space="preserve"> </v>
      </c>
      <c r="M112" s="106" t="str">
        <f t="shared" si="11"/>
        <v xml:space="preserve"> </v>
      </c>
      <c r="N112" s="51" t="str">
        <f t="shared" si="12"/>
        <v xml:space="preserve"> </v>
      </c>
      <c r="O112" s="51"/>
      <c r="P112" s="51" t="str">
        <f t="shared" si="13"/>
        <v xml:space="preserve"> </v>
      </c>
    </row>
    <row r="113" spans="8:16" ht="15" x14ac:dyDescent="0.25">
      <c r="H113" s="50" t="str">
        <f t="shared" si="14"/>
        <v xml:space="preserve"> </v>
      </c>
      <c r="I113" s="51" t="str">
        <f t="shared" si="9"/>
        <v xml:space="preserve"> </v>
      </c>
      <c r="J113" s="51" t="str">
        <f t="shared" si="8"/>
        <v xml:space="preserve"> </v>
      </c>
      <c r="K113" s="51" t="str">
        <f t="shared" si="10"/>
        <v/>
      </c>
      <c r="L113" s="106" t="str">
        <f t="shared" si="15"/>
        <v xml:space="preserve"> </v>
      </c>
      <c r="M113" s="106" t="str">
        <f t="shared" si="11"/>
        <v xml:space="preserve"> </v>
      </c>
      <c r="N113" s="51" t="str">
        <f t="shared" si="12"/>
        <v xml:space="preserve"> </v>
      </c>
      <c r="O113" s="51"/>
      <c r="P113" s="51" t="str">
        <f t="shared" si="13"/>
        <v xml:space="preserve"> </v>
      </c>
    </row>
    <row r="114" spans="8:16" ht="15" x14ac:dyDescent="0.25">
      <c r="H114" s="50" t="str">
        <f t="shared" si="14"/>
        <v xml:space="preserve"> </v>
      </c>
      <c r="I114" s="51" t="str">
        <f t="shared" si="9"/>
        <v xml:space="preserve"> </v>
      </c>
      <c r="J114" s="51" t="str">
        <f t="shared" si="8"/>
        <v xml:space="preserve"> </v>
      </c>
      <c r="K114" s="51" t="str">
        <f t="shared" si="10"/>
        <v/>
      </c>
      <c r="L114" s="106" t="str">
        <f t="shared" si="15"/>
        <v xml:space="preserve"> </v>
      </c>
      <c r="M114" s="106" t="str">
        <f t="shared" si="11"/>
        <v xml:space="preserve"> </v>
      </c>
      <c r="N114" s="51" t="str">
        <f t="shared" si="12"/>
        <v xml:space="preserve"> </v>
      </c>
      <c r="O114" s="51"/>
      <c r="P114" s="51" t="str">
        <f t="shared" si="13"/>
        <v xml:space="preserve"> </v>
      </c>
    </row>
    <row r="115" spans="8:16" ht="15" x14ac:dyDescent="0.25">
      <c r="H115" s="50" t="str">
        <f t="shared" si="14"/>
        <v xml:space="preserve"> </v>
      </c>
      <c r="I115" s="51" t="str">
        <f t="shared" si="9"/>
        <v xml:space="preserve"> </v>
      </c>
      <c r="J115" s="51" t="str">
        <f t="shared" si="8"/>
        <v xml:space="preserve"> </v>
      </c>
      <c r="K115" s="51" t="str">
        <f t="shared" si="10"/>
        <v/>
      </c>
      <c r="L115" s="106" t="str">
        <f t="shared" si="15"/>
        <v xml:space="preserve"> </v>
      </c>
      <c r="M115" s="106" t="str">
        <f t="shared" si="11"/>
        <v xml:space="preserve"> </v>
      </c>
      <c r="N115" s="51" t="str">
        <f t="shared" si="12"/>
        <v xml:space="preserve"> </v>
      </c>
      <c r="O115" s="51"/>
      <c r="P115" s="51" t="str">
        <f t="shared" si="13"/>
        <v xml:space="preserve"> </v>
      </c>
    </row>
    <row r="116" spans="8:16" ht="15" x14ac:dyDescent="0.25">
      <c r="H116" s="50" t="str">
        <f t="shared" si="14"/>
        <v xml:space="preserve"> </v>
      </c>
      <c r="I116" s="51" t="str">
        <f t="shared" si="9"/>
        <v xml:space="preserve"> </v>
      </c>
      <c r="J116" s="51" t="str">
        <f t="shared" si="8"/>
        <v xml:space="preserve"> </v>
      </c>
      <c r="K116" s="51" t="str">
        <f t="shared" si="10"/>
        <v/>
      </c>
      <c r="L116" s="106" t="str">
        <f t="shared" si="15"/>
        <v xml:space="preserve"> </v>
      </c>
      <c r="M116" s="106" t="str">
        <f t="shared" si="11"/>
        <v xml:space="preserve"> </v>
      </c>
      <c r="N116" s="51" t="str">
        <f t="shared" si="12"/>
        <v xml:space="preserve"> </v>
      </c>
      <c r="O116" s="51"/>
      <c r="P116" s="51" t="str">
        <f t="shared" si="13"/>
        <v xml:space="preserve"> </v>
      </c>
    </row>
    <row r="117" spans="8:16" ht="15" x14ac:dyDescent="0.25">
      <c r="H117" s="50" t="str">
        <f t="shared" si="14"/>
        <v xml:space="preserve"> </v>
      </c>
      <c r="I117" s="51" t="str">
        <f t="shared" si="9"/>
        <v xml:space="preserve"> </v>
      </c>
      <c r="J117" s="51" t="str">
        <f t="shared" si="8"/>
        <v xml:space="preserve"> </v>
      </c>
      <c r="K117" s="51" t="str">
        <f t="shared" si="10"/>
        <v/>
      </c>
      <c r="L117" s="106" t="str">
        <f t="shared" si="15"/>
        <v xml:space="preserve"> </v>
      </c>
      <c r="M117" s="106" t="str">
        <f t="shared" si="11"/>
        <v xml:space="preserve"> </v>
      </c>
      <c r="N117" s="51" t="str">
        <f t="shared" si="12"/>
        <v xml:space="preserve"> </v>
      </c>
      <c r="O117" s="51"/>
      <c r="P117" s="51" t="str">
        <f t="shared" si="13"/>
        <v xml:space="preserve"> </v>
      </c>
    </row>
    <row r="118" spans="8:16" ht="15" x14ac:dyDescent="0.25">
      <c r="H118" s="50" t="str">
        <f t="shared" si="14"/>
        <v xml:space="preserve"> </v>
      </c>
      <c r="I118" s="51" t="str">
        <f t="shared" si="9"/>
        <v xml:space="preserve"> </v>
      </c>
      <c r="J118" s="51" t="str">
        <f t="shared" si="8"/>
        <v xml:space="preserve"> </v>
      </c>
      <c r="K118" s="51" t="str">
        <f t="shared" si="10"/>
        <v/>
      </c>
      <c r="L118" s="106" t="str">
        <f t="shared" si="15"/>
        <v xml:space="preserve"> </v>
      </c>
      <c r="M118" s="106" t="str">
        <f t="shared" si="11"/>
        <v xml:space="preserve"> </v>
      </c>
      <c r="N118" s="51" t="str">
        <f t="shared" si="12"/>
        <v xml:space="preserve"> </v>
      </c>
      <c r="O118" s="51"/>
      <c r="P118" s="51" t="str">
        <f t="shared" si="13"/>
        <v xml:space="preserve"> </v>
      </c>
    </row>
    <row r="119" spans="8:16" ht="15" x14ac:dyDescent="0.25">
      <c r="H119" s="50" t="str">
        <f t="shared" si="14"/>
        <v xml:space="preserve"> </v>
      </c>
      <c r="I119" s="51" t="str">
        <f t="shared" si="9"/>
        <v xml:space="preserve"> </v>
      </c>
      <c r="J119" s="51" t="str">
        <f t="shared" si="8"/>
        <v xml:space="preserve"> </v>
      </c>
      <c r="K119" s="51" t="str">
        <f t="shared" si="10"/>
        <v/>
      </c>
      <c r="L119" s="106" t="str">
        <f t="shared" si="15"/>
        <v xml:space="preserve"> </v>
      </c>
      <c r="M119" s="106" t="str">
        <f t="shared" si="11"/>
        <v xml:space="preserve"> </v>
      </c>
      <c r="N119" s="51" t="str">
        <f t="shared" si="12"/>
        <v xml:space="preserve"> </v>
      </c>
      <c r="O119" s="51"/>
      <c r="P119" s="51" t="str">
        <f t="shared" si="13"/>
        <v xml:space="preserve"> </v>
      </c>
    </row>
    <row r="120" spans="8:16" ht="15" x14ac:dyDescent="0.25">
      <c r="H120" s="50" t="str">
        <f t="shared" si="14"/>
        <v xml:space="preserve"> </v>
      </c>
      <c r="I120" s="51" t="str">
        <f t="shared" si="9"/>
        <v xml:space="preserve"> </v>
      </c>
      <c r="J120" s="51" t="str">
        <f t="shared" si="8"/>
        <v xml:space="preserve"> </v>
      </c>
      <c r="K120" s="51" t="str">
        <f t="shared" si="10"/>
        <v/>
      </c>
      <c r="L120" s="106" t="str">
        <f t="shared" si="15"/>
        <v xml:space="preserve"> </v>
      </c>
      <c r="M120" s="106" t="str">
        <f t="shared" si="11"/>
        <v xml:space="preserve"> </v>
      </c>
      <c r="N120" s="51" t="str">
        <f t="shared" si="12"/>
        <v xml:space="preserve"> </v>
      </c>
      <c r="O120" s="51"/>
      <c r="P120" s="51" t="str">
        <f t="shared" si="13"/>
        <v xml:space="preserve"> </v>
      </c>
    </row>
    <row r="121" spans="8:16" ht="15" x14ac:dyDescent="0.25">
      <c r="H121" s="50" t="str">
        <f t="shared" si="14"/>
        <v xml:space="preserve"> </v>
      </c>
      <c r="I121" s="51" t="str">
        <f t="shared" si="9"/>
        <v xml:space="preserve"> </v>
      </c>
      <c r="J121" s="51" t="str">
        <f t="shared" si="8"/>
        <v xml:space="preserve"> </v>
      </c>
      <c r="K121" s="51" t="str">
        <f t="shared" si="10"/>
        <v/>
      </c>
      <c r="L121" s="106" t="str">
        <f t="shared" si="15"/>
        <v xml:space="preserve"> </v>
      </c>
      <c r="M121" s="106" t="str">
        <f t="shared" si="11"/>
        <v xml:space="preserve"> </v>
      </c>
      <c r="N121" s="51" t="str">
        <f t="shared" si="12"/>
        <v xml:space="preserve"> </v>
      </c>
      <c r="O121" s="51"/>
      <c r="P121" s="51" t="str">
        <f t="shared" si="13"/>
        <v xml:space="preserve"> </v>
      </c>
    </row>
    <row r="122" spans="8:16" ht="15" x14ac:dyDescent="0.25">
      <c r="H122" s="50" t="str">
        <f t="shared" si="14"/>
        <v xml:space="preserve"> </v>
      </c>
      <c r="I122" s="51" t="str">
        <f t="shared" si="9"/>
        <v xml:space="preserve"> </v>
      </c>
      <c r="J122" s="51" t="str">
        <f t="shared" si="8"/>
        <v xml:space="preserve"> </v>
      </c>
      <c r="K122" s="51" t="str">
        <f t="shared" si="10"/>
        <v/>
      </c>
      <c r="L122" s="106" t="str">
        <f t="shared" si="15"/>
        <v xml:space="preserve"> </v>
      </c>
      <c r="M122" s="106" t="str">
        <f t="shared" si="11"/>
        <v xml:space="preserve"> </v>
      </c>
      <c r="N122" s="51" t="str">
        <f t="shared" si="12"/>
        <v xml:space="preserve"> </v>
      </c>
      <c r="O122" s="51"/>
      <c r="P122" s="51" t="str">
        <f t="shared" si="13"/>
        <v xml:space="preserve"> </v>
      </c>
    </row>
    <row r="123" spans="8:16" ht="15" x14ac:dyDescent="0.25">
      <c r="H123" s="50" t="str">
        <f t="shared" si="14"/>
        <v xml:space="preserve"> </v>
      </c>
      <c r="I123" s="51" t="str">
        <f t="shared" si="9"/>
        <v xml:space="preserve"> </v>
      </c>
      <c r="J123" s="51" t="str">
        <f t="shared" si="8"/>
        <v xml:space="preserve"> </v>
      </c>
      <c r="K123" s="51" t="str">
        <f t="shared" si="10"/>
        <v/>
      </c>
      <c r="L123" s="106" t="str">
        <f t="shared" si="15"/>
        <v xml:space="preserve"> </v>
      </c>
      <c r="M123" s="106" t="str">
        <f t="shared" si="11"/>
        <v xml:space="preserve"> </v>
      </c>
      <c r="N123" s="51" t="str">
        <f t="shared" si="12"/>
        <v xml:space="preserve"> </v>
      </c>
      <c r="O123" s="51"/>
      <c r="P123" s="51" t="str">
        <f t="shared" si="13"/>
        <v xml:space="preserve"> </v>
      </c>
    </row>
    <row r="124" spans="8:16" ht="15" x14ac:dyDescent="0.25">
      <c r="H124" s="50" t="str">
        <f t="shared" si="14"/>
        <v xml:space="preserve"> </v>
      </c>
      <c r="I124" s="51" t="str">
        <f t="shared" si="9"/>
        <v xml:space="preserve"> </v>
      </c>
      <c r="J124" s="51" t="str">
        <f t="shared" si="8"/>
        <v xml:space="preserve"> </v>
      </c>
      <c r="K124" s="51" t="str">
        <f t="shared" si="10"/>
        <v/>
      </c>
      <c r="L124" s="106" t="str">
        <f t="shared" si="15"/>
        <v xml:space="preserve"> </v>
      </c>
      <c r="M124" s="106" t="str">
        <f t="shared" si="11"/>
        <v xml:space="preserve"> </v>
      </c>
      <c r="N124" s="51" t="str">
        <f t="shared" si="12"/>
        <v xml:space="preserve"> </v>
      </c>
      <c r="O124" s="51"/>
      <c r="P124" s="51" t="str">
        <f t="shared" si="13"/>
        <v xml:space="preserve"> </v>
      </c>
    </row>
    <row r="125" spans="8:16" ht="15" x14ac:dyDescent="0.25">
      <c r="H125" s="50" t="str">
        <f t="shared" si="14"/>
        <v xml:space="preserve"> </v>
      </c>
      <c r="I125" s="51" t="str">
        <f t="shared" si="9"/>
        <v xml:space="preserve"> </v>
      </c>
      <c r="J125" s="51" t="str">
        <f t="shared" si="8"/>
        <v xml:space="preserve"> </v>
      </c>
      <c r="K125" s="51" t="str">
        <f t="shared" si="10"/>
        <v/>
      </c>
      <c r="L125" s="106" t="str">
        <f t="shared" si="15"/>
        <v xml:space="preserve"> </v>
      </c>
      <c r="M125" s="106" t="str">
        <f t="shared" si="11"/>
        <v xml:space="preserve"> </v>
      </c>
      <c r="N125" s="51" t="str">
        <f t="shared" si="12"/>
        <v xml:space="preserve"> </v>
      </c>
      <c r="O125" s="51"/>
      <c r="P125" s="51" t="str">
        <f t="shared" si="13"/>
        <v xml:space="preserve"> </v>
      </c>
    </row>
    <row r="126" spans="8:16" ht="15" x14ac:dyDescent="0.25">
      <c r="H126" s="50" t="str">
        <f t="shared" si="14"/>
        <v xml:space="preserve"> </v>
      </c>
      <c r="I126" s="51" t="str">
        <f t="shared" si="9"/>
        <v xml:space="preserve"> </v>
      </c>
      <c r="J126" s="51" t="str">
        <f t="shared" si="8"/>
        <v xml:space="preserve"> </v>
      </c>
      <c r="K126" s="51" t="str">
        <f t="shared" si="10"/>
        <v/>
      </c>
      <c r="L126" s="106" t="str">
        <f t="shared" si="15"/>
        <v xml:space="preserve"> </v>
      </c>
      <c r="M126" s="106" t="str">
        <f t="shared" si="11"/>
        <v xml:space="preserve"> </v>
      </c>
      <c r="N126" s="51" t="str">
        <f t="shared" si="12"/>
        <v xml:space="preserve"> </v>
      </c>
      <c r="O126" s="51"/>
      <c r="P126" s="51" t="str">
        <f t="shared" si="13"/>
        <v xml:space="preserve"> </v>
      </c>
    </row>
    <row r="127" spans="8:16" ht="15" x14ac:dyDescent="0.25">
      <c r="H127" s="50" t="str">
        <f t="shared" si="14"/>
        <v xml:space="preserve"> </v>
      </c>
      <c r="I127" s="51" t="str">
        <f t="shared" si="9"/>
        <v xml:space="preserve"> </v>
      </c>
      <c r="J127" s="51" t="str">
        <f t="shared" si="8"/>
        <v xml:space="preserve"> </v>
      </c>
      <c r="K127" s="51" t="str">
        <f t="shared" si="10"/>
        <v/>
      </c>
      <c r="L127" s="106" t="str">
        <f t="shared" si="15"/>
        <v xml:space="preserve"> </v>
      </c>
      <c r="M127" s="106" t="str">
        <f t="shared" si="11"/>
        <v xml:space="preserve"> </v>
      </c>
      <c r="N127" s="51" t="str">
        <f t="shared" si="12"/>
        <v xml:space="preserve"> </v>
      </c>
      <c r="O127" s="51"/>
      <c r="P127" s="51" t="str">
        <f t="shared" si="13"/>
        <v xml:space="preserve"> </v>
      </c>
    </row>
    <row r="128" spans="8:16" ht="15" x14ac:dyDescent="0.25">
      <c r="H128" s="50" t="str">
        <f t="shared" si="14"/>
        <v xml:space="preserve"> </v>
      </c>
      <c r="I128" s="51" t="str">
        <f t="shared" si="9"/>
        <v xml:space="preserve"> </v>
      </c>
      <c r="J128" s="51" t="str">
        <f t="shared" si="8"/>
        <v xml:space="preserve"> </v>
      </c>
      <c r="K128" s="51" t="str">
        <f t="shared" si="10"/>
        <v/>
      </c>
      <c r="L128" s="106" t="str">
        <f t="shared" si="15"/>
        <v xml:space="preserve"> </v>
      </c>
      <c r="M128" s="106" t="str">
        <f t="shared" si="11"/>
        <v xml:space="preserve"> </v>
      </c>
      <c r="N128" s="51" t="str">
        <f t="shared" si="12"/>
        <v xml:space="preserve"> </v>
      </c>
      <c r="O128" s="51"/>
      <c r="P128" s="51" t="str">
        <f t="shared" si="13"/>
        <v xml:space="preserve"> </v>
      </c>
    </row>
    <row r="129" spans="8:16" ht="15" x14ac:dyDescent="0.25">
      <c r="H129" s="50" t="str">
        <f t="shared" si="14"/>
        <v xml:space="preserve"> </v>
      </c>
      <c r="I129" s="51" t="str">
        <f t="shared" si="9"/>
        <v xml:space="preserve"> </v>
      </c>
      <c r="J129" s="51" t="str">
        <f t="shared" si="8"/>
        <v xml:space="preserve"> </v>
      </c>
      <c r="K129" s="51" t="str">
        <f t="shared" si="10"/>
        <v/>
      </c>
      <c r="L129" s="106" t="str">
        <f t="shared" si="15"/>
        <v xml:space="preserve"> </v>
      </c>
      <c r="M129" s="106" t="str">
        <f t="shared" si="11"/>
        <v xml:space="preserve"> </v>
      </c>
      <c r="N129" s="51" t="str">
        <f t="shared" si="12"/>
        <v xml:space="preserve"> </v>
      </c>
      <c r="O129" s="51"/>
      <c r="P129" s="51" t="str">
        <f t="shared" si="13"/>
        <v xml:space="preserve"> </v>
      </c>
    </row>
    <row r="130" spans="8:16" ht="15" x14ac:dyDescent="0.25">
      <c r="H130" s="50" t="str">
        <f t="shared" si="14"/>
        <v xml:space="preserve"> </v>
      </c>
      <c r="I130" s="51" t="str">
        <f t="shared" si="9"/>
        <v xml:space="preserve"> </v>
      </c>
      <c r="J130" s="51" t="str">
        <f t="shared" si="8"/>
        <v xml:space="preserve"> </v>
      </c>
      <c r="K130" s="51" t="str">
        <f t="shared" si="10"/>
        <v/>
      </c>
      <c r="L130" s="106" t="str">
        <f t="shared" si="15"/>
        <v xml:space="preserve"> </v>
      </c>
      <c r="M130" s="106" t="str">
        <f t="shared" si="11"/>
        <v xml:space="preserve"> </v>
      </c>
      <c r="N130" s="51" t="str">
        <f t="shared" si="12"/>
        <v xml:space="preserve"> </v>
      </c>
      <c r="O130" s="51"/>
      <c r="P130" s="51" t="str">
        <f t="shared" si="13"/>
        <v xml:space="preserve"> </v>
      </c>
    </row>
    <row r="131" spans="8:16" ht="15" x14ac:dyDescent="0.25">
      <c r="H131" s="50" t="str">
        <f t="shared" si="14"/>
        <v xml:space="preserve"> </v>
      </c>
      <c r="I131" s="51" t="str">
        <f t="shared" si="9"/>
        <v xml:space="preserve"> </v>
      </c>
      <c r="J131" s="51" t="str">
        <f t="shared" si="8"/>
        <v xml:space="preserve"> </v>
      </c>
      <c r="K131" s="51" t="str">
        <f t="shared" si="10"/>
        <v/>
      </c>
      <c r="L131" s="106" t="str">
        <f t="shared" si="15"/>
        <v xml:space="preserve"> </v>
      </c>
      <c r="M131" s="106" t="str">
        <f t="shared" si="11"/>
        <v xml:space="preserve"> </v>
      </c>
      <c r="N131" s="51" t="str">
        <f t="shared" si="12"/>
        <v xml:space="preserve"> </v>
      </c>
      <c r="O131" s="51"/>
      <c r="P131" s="51" t="str">
        <f t="shared" si="13"/>
        <v xml:space="preserve"> </v>
      </c>
    </row>
    <row r="132" spans="8:16" ht="15" x14ac:dyDescent="0.25">
      <c r="H132" s="50" t="str">
        <f t="shared" si="14"/>
        <v xml:space="preserve"> </v>
      </c>
      <c r="I132" s="51" t="str">
        <f t="shared" si="9"/>
        <v xml:space="preserve"> </v>
      </c>
      <c r="J132" s="51" t="str">
        <f t="shared" si="8"/>
        <v xml:space="preserve"> </v>
      </c>
      <c r="K132" s="51" t="str">
        <f t="shared" si="10"/>
        <v/>
      </c>
      <c r="L132" s="106" t="str">
        <f t="shared" si="15"/>
        <v xml:space="preserve"> </v>
      </c>
      <c r="M132" s="106" t="str">
        <f t="shared" si="11"/>
        <v xml:space="preserve"> </v>
      </c>
      <c r="N132" s="51" t="str">
        <f t="shared" si="12"/>
        <v xml:space="preserve"> </v>
      </c>
      <c r="O132" s="51"/>
      <c r="P132" s="51" t="str">
        <f t="shared" si="13"/>
        <v xml:space="preserve"> </v>
      </c>
    </row>
    <row r="133" spans="8:16" ht="15" x14ac:dyDescent="0.25">
      <c r="H133" s="50" t="str">
        <f t="shared" si="14"/>
        <v xml:space="preserve"> </v>
      </c>
      <c r="I133" s="51" t="str">
        <f t="shared" si="9"/>
        <v xml:space="preserve"> </v>
      </c>
      <c r="J133" s="51" t="str">
        <f t="shared" si="8"/>
        <v xml:space="preserve"> </v>
      </c>
      <c r="K133" s="51" t="str">
        <f t="shared" si="10"/>
        <v/>
      </c>
      <c r="L133" s="106" t="str">
        <f t="shared" si="15"/>
        <v xml:space="preserve"> </v>
      </c>
      <c r="M133" s="106" t="str">
        <f t="shared" si="11"/>
        <v xml:space="preserve"> </v>
      </c>
      <c r="N133" s="51" t="str">
        <f t="shared" si="12"/>
        <v xml:space="preserve"> </v>
      </c>
      <c r="O133" s="51"/>
      <c r="P133" s="51" t="str">
        <f t="shared" si="13"/>
        <v xml:space="preserve"> </v>
      </c>
    </row>
    <row r="134" spans="8:16" ht="15" x14ac:dyDescent="0.25">
      <c r="H134" s="50" t="str">
        <f t="shared" si="14"/>
        <v xml:space="preserve"> </v>
      </c>
      <c r="I134" s="51" t="str">
        <f t="shared" si="9"/>
        <v xml:space="preserve"> </v>
      </c>
      <c r="J134" s="51" t="str">
        <f t="shared" si="8"/>
        <v xml:space="preserve"> </v>
      </c>
      <c r="K134" s="51" t="str">
        <f t="shared" si="10"/>
        <v/>
      </c>
      <c r="L134" s="106" t="str">
        <f t="shared" si="15"/>
        <v xml:space="preserve"> </v>
      </c>
      <c r="M134" s="106" t="str">
        <f t="shared" si="11"/>
        <v xml:space="preserve"> </v>
      </c>
      <c r="N134" s="51" t="str">
        <f t="shared" si="12"/>
        <v xml:space="preserve"> </v>
      </c>
      <c r="O134" s="51"/>
      <c r="P134" s="51" t="str">
        <f t="shared" si="13"/>
        <v xml:space="preserve"> </v>
      </c>
    </row>
    <row r="135" spans="8:16" ht="15" x14ac:dyDescent="0.25">
      <c r="H135" s="50" t="str">
        <f t="shared" si="14"/>
        <v xml:space="preserve"> </v>
      </c>
      <c r="I135" s="51" t="str">
        <f t="shared" si="9"/>
        <v xml:space="preserve"> </v>
      </c>
      <c r="J135" s="51" t="str">
        <f t="shared" si="8"/>
        <v xml:space="preserve"> </v>
      </c>
      <c r="K135" s="51" t="str">
        <f t="shared" si="10"/>
        <v/>
      </c>
      <c r="L135" s="106" t="str">
        <f t="shared" si="15"/>
        <v xml:space="preserve"> </v>
      </c>
      <c r="M135" s="106" t="str">
        <f t="shared" si="11"/>
        <v xml:space="preserve"> </v>
      </c>
      <c r="N135" s="51" t="str">
        <f t="shared" si="12"/>
        <v xml:space="preserve"> </v>
      </c>
      <c r="O135" s="51"/>
      <c r="P135" s="51" t="str">
        <f t="shared" si="13"/>
        <v xml:space="preserve"> </v>
      </c>
    </row>
    <row r="136" spans="8:16" ht="15" x14ac:dyDescent="0.25">
      <c r="H136" s="50" t="str">
        <f t="shared" si="14"/>
        <v xml:space="preserve"> </v>
      </c>
      <c r="I136" s="51" t="str">
        <f t="shared" si="9"/>
        <v xml:space="preserve"> </v>
      </c>
      <c r="J136" s="51" t="str">
        <f t="shared" si="8"/>
        <v xml:space="preserve"> </v>
      </c>
      <c r="K136" s="51" t="str">
        <f t="shared" si="10"/>
        <v/>
      </c>
      <c r="L136" s="106" t="str">
        <f t="shared" si="15"/>
        <v xml:space="preserve"> </v>
      </c>
      <c r="M136" s="106" t="str">
        <f t="shared" si="11"/>
        <v xml:space="preserve"> </v>
      </c>
      <c r="N136" s="51" t="str">
        <f t="shared" si="12"/>
        <v xml:space="preserve"> </v>
      </c>
      <c r="O136" s="51"/>
      <c r="P136" s="51" t="str">
        <f t="shared" si="13"/>
        <v xml:space="preserve"> </v>
      </c>
    </row>
    <row r="137" spans="8:16" ht="15" x14ac:dyDescent="0.25">
      <c r="H137" s="50" t="str">
        <f t="shared" si="14"/>
        <v xml:space="preserve"> </v>
      </c>
      <c r="I137" s="51" t="str">
        <f t="shared" si="9"/>
        <v xml:space="preserve"> </v>
      </c>
      <c r="J137" s="51" t="str">
        <f t="shared" si="8"/>
        <v xml:space="preserve"> </v>
      </c>
      <c r="K137" s="51" t="str">
        <f t="shared" si="10"/>
        <v/>
      </c>
      <c r="L137" s="106" t="str">
        <f t="shared" si="15"/>
        <v xml:space="preserve"> </v>
      </c>
      <c r="M137" s="106" t="str">
        <f t="shared" si="11"/>
        <v xml:space="preserve"> </v>
      </c>
      <c r="N137" s="51" t="str">
        <f t="shared" si="12"/>
        <v xml:space="preserve"> </v>
      </c>
      <c r="O137" s="51"/>
      <c r="P137" s="51" t="str">
        <f t="shared" si="13"/>
        <v xml:space="preserve"> </v>
      </c>
    </row>
    <row r="138" spans="8:16" ht="15" x14ac:dyDescent="0.25">
      <c r="H138" s="50" t="str">
        <f t="shared" si="14"/>
        <v xml:space="preserve"> </v>
      </c>
      <c r="I138" s="51" t="str">
        <f t="shared" si="9"/>
        <v xml:space="preserve"> </v>
      </c>
      <c r="J138" s="51" t="str">
        <f t="shared" si="8"/>
        <v xml:space="preserve"> </v>
      </c>
      <c r="K138" s="51" t="str">
        <f t="shared" si="10"/>
        <v/>
      </c>
      <c r="L138" s="106" t="str">
        <f t="shared" si="15"/>
        <v xml:space="preserve"> </v>
      </c>
      <c r="M138" s="106" t="str">
        <f t="shared" si="11"/>
        <v xml:space="preserve"> </v>
      </c>
      <c r="N138" s="51" t="str">
        <f t="shared" si="12"/>
        <v xml:space="preserve"> </v>
      </c>
      <c r="O138" s="51"/>
      <c r="P138" s="51" t="str">
        <f t="shared" si="13"/>
        <v xml:space="preserve"> </v>
      </c>
    </row>
    <row r="139" spans="8:16" ht="15" x14ac:dyDescent="0.25">
      <c r="H139" s="50" t="str">
        <f t="shared" si="14"/>
        <v xml:space="preserve"> </v>
      </c>
      <c r="I139" s="51" t="str">
        <f t="shared" si="9"/>
        <v xml:space="preserve"> </v>
      </c>
      <c r="J139" s="51" t="str">
        <f t="shared" si="8"/>
        <v xml:space="preserve"> </v>
      </c>
      <c r="K139" s="51" t="str">
        <f t="shared" si="10"/>
        <v/>
      </c>
      <c r="L139" s="106" t="str">
        <f t="shared" si="15"/>
        <v xml:space="preserve"> </v>
      </c>
      <c r="M139" s="106" t="str">
        <f t="shared" si="11"/>
        <v xml:space="preserve"> </v>
      </c>
      <c r="N139" s="51" t="str">
        <f t="shared" si="12"/>
        <v xml:space="preserve"> </v>
      </c>
      <c r="O139" s="51"/>
      <c r="P139" s="51" t="str">
        <f t="shared" si="13"/>
        <v xml:space="preserve"> </v>
      </c>
    </row>
    <row r="140" spans="8:16" ht="15" x14ac:dyDescent="0.25">
      <c r="H140" s="50" t="str">
        <f t="shared" si="14"/>
        <v xml:space="preserve"> </v>
      </c>
      <c r="I140" s="51" t="str">
        <f t="shared" si="9"/>
        <v xml:space="preserve"> </v>
      </c>
      <c r="J140" s="51" t="str">
        <f t="shared" si="8"/>
        <v xml:space="preserve"> </v>
      </c>
      <c r="K140" s="51" t="str">
        <f t="shared" si="10"/>
        <v/>
      </c>
      <c r="L140" s="106" t="str">
        <f t="shared" si="15"/>
        <v xml:space="preserve"> </v>
      </c>
      <c r="M140" s="106" t="str">
        <f t="shared" si="11"/>
        <v xml:space="preserve"> </v>
      </c>
      <c r="N140" s="51" t="str">
        <f t="shared" si="12"/>
        <v xml:space="preserve"> </v>
      </c>
      <c r="O140" s="51"/>
      <c r="P140" s="51" t="str">
        <f t="shared" si="13"/>
        <v xml:space="preserve"> </v>
      </c>
    </row>
    <row r="141" spans="8:16" ht="15" x14ac:dyDescent="0.25">
      <c r="H141" s="50" t="str">
        <f t="shared" si="14"/>
        <v xml:space="preserve"> </v>
      </c>
      <c r="I141" s="51" t="str">
        <f t="shared" si="9"/>
        <v xml:space="preserve"> </v>
      </c>
      <c r="J141" s="51" t="str">
        <f t="shared" si="8"/>
        <v xml:space="preserve"> </v>
      </c>
      <c r="K141" s="51" t="str">
        <f t="shared" si="10"/>
        <v/>
      </c>
      <c r="L141" s="106" t="str">
        <f t="shared" si="15"/>
        <v xml:space="preserve"> </v>
      </c>
      <c r="M141" s="106" t="str">
        <f t="shared" si="11"/>
        <v xml:space="preserve"> </v>
      </c>
      <c r="N141" s="51" t="str">
        <f t="shared" si="12"/>
        <v xml:space="preserve"> </v>
      </c>
      <c r="O141" s="51"/>
      <c r="P141" s="51" t="str">
        <f t="shared" si="13"/>
        <v xml:space="preserve"> </v>
      </c>
    </row>
    <row r="142" spans="8:16" ht="15" x14ac:dyDescent="0.25">
      <c r="H142" s="50" t="str">
        <f t="shared" si="14"/>
        <v xml:space="preserve"> </v>
      </c>
      <c r="I142" s="51" t="str">
        <f t="shared" si="9"/>
        <v xml:space="preserve"> </v>
      </c>
      <c r="J142" s="51" t="str">
        <f t="shared" si="8"/>
        <v xml:space="preserve"> </v>
      </c>
      <c r="K142" s="51" t="str">
        <f t="shared" si="10"/>
        <v/>
      </c>
      <c r="L142" s="106" t="str">
        <f t="shared" si="15"/>
        <v xml:space="preserve"> </v>
      </c>
      <c r="M142" s="106" t="str">
        <f t="shared" si="11"/>
        <v xml:space="preserve"> </v>
      </c>
      <c r="N142" s="51" t="str">
        <f t="shared" si="12"/>
        <v xml:space="preserve"> </v>
      </c>
      <c r="O142" s="51"/>
      <c r="P142" s="51" t="str">
        <f t="shared" si="13"/>
        <v xml:space="preserve"> </v>
      </c>
    </row>
    <row r="143" spans="8:16" ht="15" x14ac:dyDescent="0.25">
      <c r="H143" s="50" t="str">
        <f t="shared" si="14"/>
        <v xml:space="preserve"> </v>
      </c>
      <c r="I143" s="51" t="str">
        <f t="shared" si="9"/>
        <v xml:space="preserve"> </v>
      </c>
      <c r="J143" s="51" t="str">
        <f t="shared" si="8"/>
        <v xml:space="preserve"> </v>
      </c>
      <c r="K143" s="51" t="str">
        <f t="shared" si="10"/>
        <v/>
      </c>
      <c r="L143" s="106" t="str">
        <f t="shared" si="15"/>
        <v xml:space="preserve"> </v>
      </c>
      <c r="M143" s="106" t="str">
        <f t="shared" si="11"/>
        <v xml:space="preserve"> </v>
      </c>
      <c r="N143" s="51" t="str">
        <f t="shared" si="12"/>
        <v xml:space="preserve"> </v>
      </c>
      <c r="O143" s="51"/>
      <c r="P143" s="51" t="str">
        <f t="shared" si="13"/>
        <v xml:space="preserve"> </v>
      </c>
    </row>
    <row r="144" spans="8:16" ht="15" x14ac:dyDescent="0.25">
      <c r="H144" s="50" t="str">
        <f t="shared" si="14"/>
        <v xml:space="preserve"> </v>
      </c>
      <c r="I144" s="51" t="str">
        <f t="shared" si="9"/>
        <v xml:space="preserve"> </v>
      </c>
      <c r="J144" s="51" t="str">
        <f t="shared" si="8"/>
        <v xml:space="preserve"> </v>
      </c>
      <c r="K144" s="51" t="str">
        <f t="shared" si="10"/>
        <v/>
      </c>
      <c r="L144" s="106" t="str">
        <f t="shared" si="15"/>
        <v xml:space="preserve"> </v>
      </c>
      <c r="M144" s="106" t="str">
        <f t="shared" si="11"/>
        <v xml:space="preserve"> </v>
      </c>
      <c r="N144" s="51" t="str">
        <f t="shared" si="12"/>
        <v xml:space="preserve"> </v>
      </c>
      <c r="O144" s="51"/>
      <c r="P144" s="51" t="str">
        <f t="shared" si="13"/>
        <v xml:space="preserve"> </v>
      </c>
    </row>
    <row r="145" spans="8:16" ht="15" x14ac:dyDescent="0.25">
      <c r="H145" s="50" t="str">
        <f t="shared" si="14"/>
        <v xml:space="preserve"> </v>
      </c>
      <c r="I145" s="51" t="str">
        <f t="shared" si="9"/>
        <v xml:space="preserve"> </v>
      </c>
      <c r="J145" s="51" t="str">
        <f t="shared" si="8"/>
        <v xml:space="preserve"> </v>
      </c>
      <c r="K145" s="51" t="str">
        <f t="shared" si="10"/>
        <v/>
      </c>
      <c r="L145" s="106" t="str">
        <f t="shared" si="15"/>
        <v xml:space="preserve"> </v>
      </c>
      <c r="M145" s="106" t="str">
        <f t="shared" si="11"/>
        <v xml:space="preserve"> </v>
      </c>
      <c r="N145" s="51" t="str">
        <f t="shared" si="12"/>
        <v xml:space="preserve"> </v>
      </c>
      <c r="O145" s="51"/>
      <c r="P145" s="51" t="str">
        <f t="shared" si="13"/>
        <v xml:space="preserve"> </v>
      </c>
    </row>
    <row r="146" spans="8:16" ht="15" x14ac:dyDescent="0.25">
      <c r="H146" s="50" t="str">
        <f t="shared" si="14"/>
        <v xml:space="preserve"> </v>
      </c>
      <c r="I146" s="51" t="str">
        <f t="shared" si="9"/>
        <v xml:space="preserve"> </v>
      </c>
      <c r="J146" s="51" t="str">
        <f t="shared" ref="J146:J209" si="16">IFERROR(IF(I146&lt;&gt;0,(I145-I146+(I145*$D$35*30/360))," ")," ")</f>
        <v xml:space="preserve"> </v>
      </c>
      <c r="K146" s="51" t="str">
        <f t="shared" si="10"/>
        <v/>
      </c>
      <c r="L146" s="106" t="str">
        <f t="shared" si="15"/>
        <v xml:space="preserve"> </v>
      </c>
      <c r="M146" s="106" t="str">
        <f t="shared" si="11"/>
        <v xml:space="preserve"> </v>
      </c>
      <c r="N146" s="51" t="str">
        <f t="shared" si="12"/>
        <v xml:space="preserve"> </v>
      </c>
      <c r="O146" s="51"/>
      <c r="P146" s="51" t="str">
        <f t="shared" si="13"/>
        <v xml:space="preserve"> </v>
      </c>
    </row>
    <row r="147" spans="8:16" ht="15" x14ac:dyDescent="0.25">
      <c r="H147" s="50" t="str">
        <f t="shared" si="14"/>
        <v xml:space="preserve"> </v>
      </c>
      <c r="I147" s="51" t="str">
        <f t="shared" ref="I147:I210" si="17">IF(H147&lt;=$U$17,N147*$D$37," ")</f>
        <v xml:space="preserve"> </v>
      </c>
      <c r="J147" s="51" t="str">
        <f t="shared" si="16"/>
        <v xml:space="preserve"> </v>
      </c>
      <c r="K147" s="51" t="str">
        <f t="shared" ref="K147:K210" si="18">IF(H146&lt;=$U$17,IF(credito="Francesa",IF(H147&lt;=$U$17,$K146,0),IF(credito="Alemana",IF(H147&lt;=$U$17,L147+M147,0))),"")</f>
        <v/>
      </c>
      <c r="L147" s="106" t="str">
        <f t="shared" si="15"/>
        <v xml:space="preserve"> </v>
      </c>
      <c r="M147" s="106" t="str">
        <f t="shared" ref="M147:M210" si="19">IF(H147&lt;=$U$17,IF(credito="Francesa",K147-L147,IF(credito="Alemana",IF(H147&lt;=$U$17,$M146,0)))," ")</f>
        <v xml:space="preserve"> </v>
      </c>
      <c r="N147" s="51" t="str">
        <f t="shared" ref="N147:N210" si="20">IF(H147&lt;=$U$17,N146-M147," ")</f>
        <v xml:space="preserve"> </v>
      </c>
      <c r="O147" s="51"/>
      <c r="P147" s="51" t="str">
        <f t="shared" ref="P147:P210" si="21">IFERROR(SUM(IF(H147&lt;=$U$17,-K147," "),J147)," ")</f>
        <v xml:space="preserve"> </v>
      </c>
    </row>
    <row r="148" spans="8:16" ht="15" x14ac:dyDescent="0.25">
      <c r="H148" s="50" t="str">
        <f t="shared" ref="H148:H211" si="22">IF($H147&gt;=$U$17," ",H147+1)</f>
        <v xml:space="preserve"> </v>
      </c>
      <c r="I148" s="51" t="str">
        <f t="shared" si="17"/>
        <v xml:space="preserve"> </v>
      </c>
      <c r="J148" s="51" t="str">
        <f t="shared" si="16"/>
        <v xml:space="preserve"> </v>
      </c>
      <c r="K148" s="51" t="str">
        <f t="shared" si="18"/>
        <v/>
      </c>
      <c r="L148" s="106" t="str">
        <f t="shared" ref="L148:L211" si="23">IF(H148&lt;=$U$17,N147*$D$28/$D$24," ")</f>
        <v xml:space="preserve"> </v>
      </c>
      <c r="M148" s="106" t="str">
        <f t="shared" si="19"/>
        <v xml:space="preserve"> </v>
      </c>
      <c r="N148" s="51" t="str">
        <f t="shared" si="20"/>
        <v xml:space="preserve"> </v>
      </c>
      <c r="O148" s="51"/>
      <c r="P148" s="51" t="str">
        <f t="shared" si="21"/>
        <v xml:space="preserve"> </v>
      </c>
    </row>
    <row r="149" spans="8:16" ht="15" x14ac:dyDescent="0.25">
      <c r="H149" s="50" t="str">
        <f t="shared" si="22"/>
        <v xml:space="preserve"> </v>
      </c>
      <c r="I149" s="51" t="str">
        <f t="shared" si="17"/>
        <v xml:space="preserve"> </v>
      </c>
      <c r="J149" s="51" t="str">
        <f t="shared" si="16"/>
        <v xml:space="preserve"> </v>
      </c>
      <c r="K149" s="51" t="str">
        <f t="shared" si="18"/>
        <v/>
      </c>
      <c r="L149" s="106" t="str">
        <f t="shared" si="23"/>
        <v xml:space="preserve"> </v>
      </c>
      <c r="M149" s="106" t="str">
        <f t="shared" si="19"/>
        <v xml:space="preserve"> </v>
      </c>
      <c r="N149" s="51" t="str">
        <f t="shared" si="20"/>
        <v xml:space="preserve"> </v>
      </c>
      <c r="O149" s="51"/>
      <c r="P149" s="51" t="str">
        <f t="shared" si="21"/>
        <v xml:space="preserve"> </v>
      </c>
    </row>
    <row r="150" spans="8:16" ht="15" x14ac:dyDescent="0.25">
      <c r="H150" s="50" t="str">
        <f t="shared" si="22"/>
        <v xml:space="preserve"> </v>
      </c>
      <c r="I150" s="51" t="str">
        <f t="shared" si="17"/>
        <v xml:space="preserve"> </v>
      </c>
      <c r="J150" s="51" t="str">
        <f t="shared" si="16"/>
        <v xml:space="preserve"> </v>
      </c>
      <c r="K150" s="51" t="str">
        <f t="shared" si="18"/>
        <v/>
      </c>
      <c r="L150" s="106" t="str">
        <f t="shared" si="23"/>
        <v xml:space="preserve"> </v>
      </c>
      <c r="M150" s="106" t="str">
        <f t="shared" si="19"/>
        <v xml:space="preserve"> </v>
      </c>
      <c r="N150" s="51" t="str">
        <f t="shared" si="20"/>
        <v xml:space="preserve"> </v>
      </c>
      <c r="O150" s="51"/>
      <c r="P150" s="51" t="str">
        <f t="shared" si="21"/>
        <v xml:space="preserve"> </v>
      </c>
    </row>
    <row r="151" spans="8:16" ht="15" x14ac:dyDescent="0.25">
      <c r="H151" s="50" t="str">
        <f t="shared" si="22"/>
        <v xml:space="preserve"> </v>
      </c>
      <c r="I151" s="51" t="str">
        <f t="shared" si="17"/>
        <v xml:space="preserve"> </v>
      </c>
      <c r="J151" s="51" t="str">
        <f t="shared" si="16"/>
        <v xml:space="preserve"> </v>
      </c>
      <c r="K151" s="51" t="str">
        <f t="shared" si="18"/>
        <v/>
      </c>
      <c r="L151" s="106" t="str">
        <f t="shared" si="23"/>
        <v xml:space="preserve"> </v>
      </c>
      <c r="M151" s="106" t="str">
        <f t="shared" si="19"/>
        <v xml:space="preserve"> </v>
      </c>
      <c r="N151" s="51" t="str">
        <f t="shared" si="20"/>
        <v xml:space="preserve"> </v>
      </c>
      <c r="O151" s="51"/>
      <c r="P151" s="51" t="str">
        <f t="shared" si="21"/>
        <v xml:space="preserve"> </v>
      </c>
    </row>
    <row r="152" spans="8:16" ht="15" x14ac:dyDescent="0.25">
      <c r="H152" s="50" t="str">
        <f t="shared" si="22"/>
        <v xml:space="preserve"> </v>
      </c>
      <c r="I152" s="51" t="str">
        <f t="shared" si="17"/>
        <v xml:space="preserve"> </v>
      </c>
      <c r="J152" s="51" t="str">
        <f t="shared" si="16"/>
        <v xml:space="preserve"> </v>
      </c>
      <c r="K152" s="51" t="str">
        <f t="shared" si="18"/>
        <v/>
      </c>
      <c r="L152" s="106" t="str">
        <f t="shared" si="23"/>
        <v xml:space="preserve"> </v>
      </c>
      <c r="M152" s="106" t="str">
        <f t="shared" si="19"/>
        <v xml:space="preserve"> </v>
      </c>
      <c r="N152" s="51" t="str">
        <f t="shared" si="20"/>
        <v xml:space="preserve"> </v>
      </c>
      <c r="O152" s="51"/>
      <c r="P152" s="51" t="str">
        <f t="shared" si="21"/>
        <v xml:space="preserve"> </v>
      </c>
    </row>
    <row r="153" spans="8:16" ht="15" x14ac:dyDescent="0.25">
      <c r="H153" s="50" t="str">
        <f t="shared" si="22"/>
        <v xml:space="preserve"> </v>
      </c>
      <c r="I153" s="51" t="str">
        <f t="shared" si="17"/>
        <v xml:space="preserve"> </v>
      </c>
      <c r="J153" s="51" t="str">
        <f t="shared" si="16"/>
        <v xml:space="preserve"> </v>
      </c>
      <c r="K153" s="51" t="str">
        <f t="shared" si="18"/>
        <v/>
      </c>
      <c r="L153" s="106" t="str">
        <f t="shared" si="23"/>
        <v xml:space="preserve"> </v>
      </c>
      <c r="M153" s="106" t="str">
        <f t="shared" si="19"/>
        <v xml:space="preserve"> </v>
      </c>
      <c r="N153" s="51" t="str">
        <f t="shared" si="20"/>
        <v xml:space="preserve"> </v>
      </c>
      <c r="O153" s="51"/>
      <c r="P153" s="51" t="str">
        <f t="shared" si="21"/>
        <v xml:space="preserve"> </v>
      </c>
    </row>
    <row r="154" spans="8:16" ht="15" x14ac:dyDescent="0.25">
      <c r="H154" s="50" t="str">
        <f t="shared" si="22"/>
        <v xml:space="preserve"> </v>
      </c>
      <c r="I154" s="51" t="str">
        <f t="shared" si="17"/>
        <v xml:space="preserve"> </v>
      </c>
      <c r="J154" s="51" t="str">
        <f t="shared" si="16"/>
        <v xml:space="preserve"> </v>
      </c>
      <c r="K154" s="51" t="str">
        <f t="shared" si="18"/>
        <v/>
      </c>
      <c r="L154" s="106" t="str">
        <f t="shared" si="23"/>
        <v xml:space="preserve"> </v>
      </c>
      <c r="M154" s="106" t="str">
        <f t="shared" si="19"/>
        <v xml:space="preserve"> </v>
      </c>
      <c r="N154" s="51" t="str">
        <f t="shared" si="20"/>
        <v xml:space="preserve"> </v>
      </c>
      <c r="O154" s="51"/>
      <c r="P154" s="51" t="str">
        <f t="shared" si="21"/>
        <v xml:space="preserve"> </v>
      </c>
    </row>
    <row r="155" spans="8:16" ht="15" x14ac:dyDescent="0.25">
      <c r="H155" s="50" t="str">
        <f t="shared" si="22"/>
        <v xml:space="preserve"> </v>
      </c>
      <c r="I155" s="51" t="str">
        <f t="shared" si="17"/>
        <v xml:space="preserve"> </v>
      </c>
      <c r="J155" s="51" t="str">
        <f t="shared" si="16"/>
        <v xml:space="preserve"> </v>
      </c>
      <c r="K155" s="51" t="str">
        <f t="shared" si="18"/>
        <v/>
      </c>
      <c r="L155" s="106" t="str">
        <f t="shared" si="23"/>
        <v xml:space="preserve"> </v>
      </c>
      <c r="M155" s="106" t="str">
        <f t="shared" si="19"/>
        <v xml:space="preserve"> </v>
      </c>
      <c r="N155" s="51" t="str">
        <f t="shared" si="20"/>
        <v xml:space="preserve"> </v>
      </c>
      <c r="O155" s="51"/>
      <c r="P155" s="51" t="str">
        <f t="shared" si="21"/>
        <v xml:space="preserve"> </v>
      </c>
    </row>
    <row r="156" spans="8:16" ht="15" x14ac:dyDescent="0.25">
      <c r="H156" s="50" t="str">
        <f t="shared" si="22"/>
        <v xml:space="preserve"> </v>
      </c>
      <c r="I156" s="51" t="str">
        <f t="shared" si="17"/>
        <v xml:space="preserve"> </v>
      </c>
      <c r="J156" s="51" t="str">
        <f t="shared" si="16"/>
        <v xml:space="preserve"> </v>
      </c>
      <c r="K156" s="51" t="str">
        <f t="shared" si="18"/>
        <v/>
      </c>
      <c r="L156" s="106" t="str">
        <f t="shared" si="23"/>
        <v xml:space="preserve"> </v>
      </c>
      <c r="M156" s="106" t="str">
        <f t="shared" si="19"/>
        <v xml:space="preserve"> </v>
      </c>
      <c r="N156" s="51" t="str">
        <f t="shared" si="20"/>
        <v xml:space="preserve"> </v>
      </c>
      <c r="O156" s="51"/>
      <c r="P156" s="51" t="str">
        <f t="shared" si="21"/>
        <v xml:space="preserve"> </v>
      </c>
    </row>
    <row r="157" spans="8:16" ht="15" x14ac:dyDescent="0.25">
      <c r="H157" s="50" t="str">
        <f t="shared" si="22"/>
        <v xml:space="preserve"> </v>
      </c>
      <c r="I157" s="51" t="str">
        <f t="shared" si="17"/>
        <v xml:space="preserve"> </v>
      </c>
      <c r="J157" s="51" t="str">
        <f t="shared" si="16"/>
        <v xml:space="preserve"> </v>
      </c>
      <c r="K157" s="51" t="str">
        <f t="shared" si="18"/>
        <v/>
      </c>
      <c r="L157" s="106" t="str">
        <f t="shared" si="23"/>
        <v xml:space="preserve"> </v>
      </c>
      <c r="M157" s="106" t="str">
        <f t="shared" si="19"/>
        <v xml:space="preserve"> </v>
      </c>
      <c r="N157" s="51" t="str">
        <f t="shared" si="20"/>
        <v xml:space="preserve"> </v>
      </c>
      <c r="O157" s="51"/>
      <c r="P157" s="51" t="str">
        <f t="shared" si="21"/>
        <v xml:space="preserve"> </v>
      </c>
    </row>
    <row r="158" spans="8:16" ht="15" x14ac:dyDescent="0.25">
      <c r="H158" s="50" t="str">
        <f t="shared" si="22"/>
        <v xml:space="preserve"> </v>
      </c>
      <c r="I158" s="51" t="str">
        <f t="shared" si="17"/>
        <v xml:space="preserve"> </v>
      </c>
      <c r="J158" s="51" t="str">
        <f t="shared" si="16"/>
        <v xml:space="preserve"> </v>
      </c>
      <c r="K158" s="51" t="str">
        <f t="shared" si="18"/>
        <v/>
      </c>
      <c r="L158" s="106" t="str">
        <f t="shared" si="23"/>
        <v xml:space="preserve"> </v>
      </c>
      <c r="M158" s="106" t="str">
        <f t="shared" si="19"/>
        <v xml:space="preserve"> </v>
      </c>
      <c r="N158" s="51" t="str">
        <f t="shared" si="20"/>
        <v xml:space="preserve"> </v>
      </c>
      <c r="O158" s="51"/>
      <c r="P158" s="51" t="str">
        <f t="shared" si="21"/>
        <v xml:space="preserve"> </v>
      </c>
    </row>
    <row r="159" spans="8:16" ht="15" x14ac:dyDescent="0.25">
      <c r="H159" s="50" t="str">
        <f t="shared" si="22"/>
        <v xml:space="preserve"> </v>
      </c>
      <c r="I159" s="51" t="str">
        <f t="shared" si="17"/>
        <v xml:space="preserve"> </v>
      </c>
      <c r="J159" s="51" t="str">
        <f t="shared" si="16"/>
        <v xml:space="preserve"> </v>
      </c>
      <c r="K159" s="51" t="str">
        <f t="shared" si="18"/>
        <v/>
      </c>
      <c r="L159" s="106" t="str">
        <f t="shared" si="23"/>
        <v xml:space="preserve"> </v>
      </c>
      <c r="M159" s="106" t="str">
        <f t="shared" si="19"/>
        <v xml:space="preserve"> </v>
      </c>
      <c r="N159" s="51" t="str">
        <f t="shared" si="20"/>
        <v xml:space="preserve"> </v>
      </c>
      <c r="O159" s="51"/>
      <c r="P159" s="51" t="str">
        <f t="shared" si="21"/>
        <v xml:space="preserve"> </v>
      </c>
    </row>
    <row r="160" spans="8:16" ht="15" x14ac:dyDescent="0.25">
      <c r="H160" s="50" t="str">
        <f t="shared" si="22"/>
        <v xml:space="preserve"> </v>
      </c>
      <c r="I160" s="51" t="str">
        <f t="shared" si="17"/>
        <v xml:space="preserve"> </v>
      </c>
      <c r="J160" s="51" t="str">
        <f t="shared" si="16"/>
        <v xml:space="preserve"> </v>
      </c>
      <c r="K160" s="51" t="str">
        <f t="shared" si="18"/>
        <v/>
      </c>
      <c r="L160" s="106" t="str">
        <f t="shared" si="23"/>
        <v xml:space="preserve"> </v>
      </c>
      <c r="M160" s="106" t="str">
        <f t="shared" si="19"/>
        <v xml:space="preserve"> </v>
      </c>
      <c r="N160" s="51" t="str">
        <f t="shared" si="20"/>
        <v xml:space="preserve"> </v>
      </c>
      <c r="O160" s="51"/>
      <c r="P160" s="51" t="str">
        <f t="shared" si="21"/>
        <v xml:space="preserve"> </v>
      </c>
    </row>
    <row r="161" spans="8:16" ht="15" x14ac:dyDescent="0.25">
      <c r="H161" s="50" t="str">
        <f t="shared" si="22"/>
        <v xml:space="preserve"> </v>
      </c>
      <c r="I161" s="51" t="str">
        <f t="shared" si="17"/>
        <v xml:space="preserve"> </v>
      </c>
      <c r="J161" s="51" t="str">
        <f t="shared" si="16"/>
        <v xml:space="preserve"> </v>
      </c>
      <c r="K161" s="51" t="str">
        <f t="shared" si="18"/>
        <v/>
      </c>
      <c r="L161" s="106" t="str">
        <f t="shared" si="23"/>
        <v xml:space="preserve"> </v>
      </c>
      <c r="M161" s="106" t="str">
        <f t="shared" si="19"/>
        <v xml:space="preserve"> </v>
      </c>
      <c r="N161" s="51" t="str">
        <f t="shared" si="20"/>
        <v xml:space="preserve"> </v>
      </c>
      <c r="O161" s="51"/>
      <c r="P161" s="51" t="str">
        <f t="shared" si="21"/>
        <v xml:space="preserve"> </v>
      </c>
    </row>
    <row r="162" spans="8:16" ht="15" x14ac:dyDescent="0.25">
      <c r="H162" s="50" t="str">
        <f t="shared" si="22"/>
        <v xml:space="preserve"> </v>
      </c>
      <c r="I162" s="51" t="str">
        <f t="shared" si="17"/>
        <v xml:space="preserve"> </v>
      </c>
      <c r="J162" s="51" t="str">
        <f t="shared" si="16"/>
        <v xml:space="preserve"> </v>
      </c>
      <c r="K162" s="51" t="str">
        <f t="shared" si="18"/>
        <v/>
      </c>
      <c r="L162" s="106" t="str">
        <f t="shared" si="23"/>
        <v xml:space="preserve"> </v>
      </c>
      <c r="M162" s="106" t="str">
        <f t="shared" si="19"/>
        <v xml:space="preserve"> </v>
      </c>
      <c r="N162" s="51" t="str">
        <f t="shared" si="20"/>
        <v xml:space="preserve"> </v>
      </c>
      <c r="O162" s="51"/>
      <c r="P162" s="51" t="str">
        <f t="shared" si="21"/>
        <v xml:space="preserve"> </v>
      </c>
    </row>
    <row r="163" spans="8:16" ht="15" x14ac:dyDescent="0.25">
      <c r="H163" s="50" t="str">
        <f t="shared" si="22"/>
        <v xml:space="preserve"> </v>
      </c>
      <c r="I163" s="51" t="str">
        <f t="shared" si="17"/>
        <v xml:space="preserve"> </v>
      </c>
      <c r="J163" s="51" t="str">
        <f t="shared" si="16"/>
        <v xml:space="preserve"> </v>
      </c>
      <c r="K163" s="51" t="str">
        <f t="shared" si="18"/>
        <v/>
      </c>
      <c r="L163" s="106" t="str">
        <f t="shared" si="23"/>
        <v xml:space="preserve"> </v>
      </c>
      <c r="M163" s="106" t="str">
        <f t="shared" si="19"/>
        <v xml:space="preserve"> </v>
      </c>
      <c r="N163" s="51" t="str">
        <f t="shared" si="20"/>
        <v xml:space="preserve"> </v>
      </c>
      <c r="O163" s="51"/>
      <c r="P163" s="51" t="str">
        <f t="shared" si="21"/>
        <v xml:space="preserve"> </v>
      </c>
    </row>
    <row r="164" spans="8:16" ht="15" x14ac:dyDescent="0.25">
      <c r="H164" s="50" t="str">
        <f t="shared" si="22"/>
        <v xml:space="preserve"> </v>
      </c>
      <c r="I164" s="51" t="str">
        <f t="shared" si="17"/>
        <v xml:space="preserve"> </v>
      </c>
      <c r="J164" s="51" t="str">
        <f t="shared" si="16"/>
        <v xml:space="preserve"> </v>
      </c>
      <c r="K164" s="51" t="str">
        <f t="shared" si="18"/>
        <v/>
      </c>
      <c r="L164" s="106" t="str">
        <f t="shared" si="23"/>
        <v xml:space="preserve"> </v>
      </c>
      <c r="M164" s="106" t="str">
        <f t="shared" si="19"/>
        <v xml:space="preserve"> </v>
      </c>
      <c r="N164" s="51" t="str">
        <f t="shared" si="20"/>
        <v xml:space="preserve"> </v>
      </c>
      <c r="O164" s="51"/>
      <c r="P164" s="51" t="str">
        <f t="shared" si="21"/>
        <v xml:space="preserve"> </v>
      </c>
    </row>
    <row r="165" spans="8:16" ht="15" x14ac:dyDescent="0.25">
      <c r="H165" s="50" t="str">
        <f t="shared" si="22"/>
        <v xml:space="preserve"> </v>
      </c>
      <c r="I165" s="51" t="str">
        <f t="shared" si="17"/>
        <v xml:space="preserve"> </v>
      </c>
      <c r="J165" s="51" t="str">
        <f t="shared" si="16"/>
        <v xml:space="preserve"> </v>
      </c>
      <c r="K165" s="51" t="str">
        <f t="shared" si="18"/>
        <v/>
      </c>
      <c r="L165" s="106" t="str">
        <f t="shared" si="23"/>
        <v xml:space="preserve"> </v>
      </c>
      <c r="M165" s="106" t="str">
        <f t="shared" si="19"/>
        <v xml:space="preserve"> </v>
      </c>
      <c r="N165" s="51" t="str">
        <f t="shared" si="20"/>
        <v xml:space="preserve"> </v>
      </c>
      <c r="O165" s="51"/>
      <c r="P165" s="51" t="str">
        <f t="shared" si="21"/>
        <v xml:space="preserve"> </v>
      </c>
    </row>
    <row r="166" spans="8:16" ht="15" x14ac:dyDescent="0.25">
      <c r="H166" s="50" t="str">
        <f t="shared" si="22"/>
        <v xml:space="preserve"> </v>
      </c>
      <c r="I166" s="51" t="str">
        <f t="shared" si="17"/>
        <v xml:space="preserve"> </v>
      </c>
      <c r="J166" s="51" t="str">
        <f t="shared" si="16"/>
        <v xml:space="preserve"> </v>
      </c>
      <c r="K166" s="51" t="str">
        <f t="shared" si="18"/>
        <v/>
      </c>
      <c r="L166" s="106" t="str">
        <f t="shared" si="23"/>
        <v xml:space="preserve"> </v>
      </c>
      <c r="M166" s="106" t="str">
        <f t="shared" si="19"/>
        <v xml:space="preserve"> </v>
      </c>
      <c r="N166" s="51" t="str">
        <f t="shared" si="20"/>
        <v xml:space="preserve"> </v>
      </c>
      <c r="O166" s="51"/>
      <c r="P166" s="51" t="str">
        <f t="shared" si="21"/>
        <v xml:space="preserve"> </v>
      </c>
    </row>
    <row r="167" spans="8:16" ht="15" x14ac:dyDescent="0.25">
      <c r="H167" s="50" t="str">
        <f t="shared" si="22"/>
        <v xml:space="preserve"> </v>
      </c>
      <c r="I167" s="51" t="str">
        <f t="shared" si="17"/>
        <v xml:space="preserve"> </v>
      </c>
      <c r="J167" s="51" t="str">
        <f t="shared" si="16"/>
        <v xml:space="preserve"> </v>
      </c>
      <c r="K167" s="51" t="str">
        <f t="shared" si="18"/>
        <v/>
      </c>
      <c r="L167" s="106" t="str">
        <f t="shared" si="23"/>
        <v xml:space="preserve"> </v>
      </c>
      <c r="M167" s="106" t="str">
        <f t="shared" si="19"/>
        <v xml:space="preserve"> </v>
      </c>
      <c r="N167" s="51" t="str">
        <f t="shared" si="20"/>
        <v xml:space="preserve"> </v>
      </c>
      <c r="O167" s="51"/>
      <c r="P167" s="51" t="str">
        <f t="shared" si="21"/>
        <v xml:space="preserve"> </v>
      </c>
    </row>
    <row r="168" spans="8:16" ht="15" x14ac:dyDescent="0.25">
      <c r="H168" s="50" t="str">
        <f t="shared" si="22"/>
        <v xml:space="preserve"> </v>
      </c>
      <c r="I168" s="51" t="str">
        <f t="shared" si="17"/>
        <v xml:space="preserve"> </v>
      </c>
      <c r="J168" s="51" t="str">
        <f t="shared" si="16"/>
        <v xml:space="preserve"> </v>
      </c>
      <c r="K168" s="51" t="str">
        <f t="shared" si="18"/>
        <v/>
      </c>
      <c r="L168" s="106" t="str">
        <f t="shared" si="23"/>
        <v xml:space="preserve"> </v>
      </c>
      <c r="M168" s="106" t="str">
        <f t="shared" si="19"/>
        <v xml:space="preserve"> </v>
      </c>
      <c r="N168" s="51" t="str">
        <f t="shared" si="20"/>
        <v xml:space="preserve"> </v>
      </c>
      <c r="O168" s="51"/>
      <c r="P168" s="51" t="str">
        <f t="shared" si="21"/>
        <v xml:space="preserve"> </v>
      </c>
    </row>
    <row r="169" spans="8:16" ht="15" x14ac:dyDescent="0.25">
      <c r="H169" s="50" t="str">
        <f t="shared" si="22"/>
        <v xml:space="preserve"> </v>
      </c>
      <c r="I169" s="51" t="str">
        <f t="shared" si="17"/>
        <v xml:space="preserve"> </v>
      </c>
      <c r="J169" s="51" t="str">
        <f t="shared" si="16"/>
        <v xml:space="preserve"> </v>
      </c>
      <c r="K169" s="51" t="str">
        <f t="shared" si="18"/>
        <v/>
      </c>
      <c r="L169" s="106" t="str">
        <f t="shared" si="23"/>
        <v xml:space="preserve"> </v>
      </c>
      <c r="M169" s="106" t="str">
        <f t="shared" si="19"/>
        <v xml:space="preserve"> </v>
      </c>
      <c r="N169" s="51" t="str">
        <f t="shared" si="20"/>
        <v xml:space="preserve"> </v>
      </c>
      <c r="O169" s="51"/>
      <c r="P169" s="51" t="str">
        <f t="shared" si="21"/>
        <v xml:space="preserve"> </v>
      </c>
    </row>
    <row r="170" spans="8:16" ht="15" x14ac:dyDescent="0.25">
      <c r="H170" s="50" t="str">
        <f t="shared" si="22"/>
        <v xml:space="preserve"> </v>
      </c>
      <c r="I170" s="51" t="str">
        <f t="shared" si="17"/>
        <v xml:space="preserve"> </v>
      </c>
      <c r="J170" s="51" t="str">
        <f t="shared" si="16"/>
        <v xml:space="preserve"> </v>
      </c>
      <c r="K170" s="51" t="str">
        <f t="shared" si="18"/>
        <v/>
      </c>
      <c r="L170" s="106" t="str">
        <f t="shared" si="23"/>
        <v xml:space="preserve"> </v>
      </c>
      <c r="M170" s="106" t="str">
        <f t="shared" si="19"/>
        <v xml:space="preserve"> </v>
      </c>
      <c r="N170" s="51" t="str">
        <f t="shared" si="20"/>
        <v xml:space="preserve"> </v>
      </c>
      <c r="O170" s="51"/>
      <c r="P170" s="51" t="str">
        <f t="shared" si="21"/>
        <v xml:space="preserve"> </v>
      </c>
    </row>
    <row r="171" spans="8:16" ht="15" x14ac:dyDescent="0.25">
      <c r="H171" s="50" t="str">
        <f t="shared" si="22"/>
        <v xml:space="preserve"> </v>
      </c>
      <c r="I171" s="51" t="str">
        <f t="shared" si="17"/>
        <v xml:space="preserve"> </v>
      </c>
      <c r="J171" s="51" t="str">
        <f t="shared" si="16"/>
        <v xml:space="preserve"> </v>
      </c>
      <c r="K171" s="51" t="str">
        <f t="shared" si="18"/>
        <v/>
      </c>
      <c r="L171" s="106" t="str">
        <f t="shared" si="23"/>
        <v xml:space="preserve"> </v>
      </c>
      <c r="M171" s="106" t="str">
        <f t="shared" si="19"/>
        <v xml:space="preserve"> </v>
      </c>
      <c r="N171" s="51" t="str">
        <f t="shared" si="20"/>
        <v xml:space="preserve"> </v>
      </c>
      <c r="O171" s="51"/>
      <c r="P171" s="51" t="str">
        <f t="shared" si="21"/>
        <v xml:space="preserve"> </v>
      </c>
    </row>
    <row r="172" spans="8:16" ht="15" x14ac:dyDescent="0.25">
      <c r="H172" s="50" t="str">
        <f t="shared" si="22"/>
        <v xml:space="preserve"> </v>
      </c>
      <c r="I172" s="51" t="str">
        <f t="shared" si="17"/>
        <v xml:space="preserve"> </v>
      </c>
      <c r="J172" s="51" t="str">
        <f t="shared" si="16"/>
        <v xml:space="preserve"> </v>
      </c>
      <c r="K172" s="51" t="str">
        <f t="shared" si="18"/>
        <v/>
      </c>
      <c r="L172" s="106" t="str">
        <f t="shared" si="23"/>
        <v xml:space="preserve"> </v>
      </c>
      <c r="M172" s="106" t="str">
        <f t="shared" si="19"/>
        <v xml:space="preserve"> </v>
      </c>
      <c r="N172" s="51" t="str">
        <f t="shared" si="20"/>
        <v xml:space="preserve"> </v>
      </c>
      <c r="O172" s="51"/>
      <c r="P172" s="51" t="str">
        <f t="shared" si="21"/>
        <v xml:space="preserve"> </v>
      </c>
    </row>
    <row r="173" spans="8:16" ht="15" x14ac:dyDescent="0.25">
      <c r="H173" s="50" t="str">
        <f t="shared" si="22"/>
        <v xml:space="preserve"> </v>
      </c>
      <c r="I173" s="51" t="str">
        <f t="shared" si="17"/>
        <v xml:space="preserve"> </v>
      </c>
      <c r="J173" s="51" t="str">
        <f t="shared" si="16"/>
        <v xml:space="preserve"> </v>
      </c>
      <c r="K173" s="51" t="str">
        <f t="shared" si="18"/>
        <v/>
      </c>
      <c r="L173" s="106" t="str">
        <f t="shared" si="23"/>
        <v xml:space="preserve"> </v>
      </c>
      <c r="M173" s="106" t="str">
        <f t="shared" si="19"/>
        <v xml:space="preserve"> </v>
      </c>
      <c r="N173" s="51" t="str">
        <f t="shared" si="20"/>
        <v xml:space="preserve"> </v>
      </c>
      <c r="O173" s="51"/>
      <c r="P173" s="51" t="str">
        <f t="shared" si="21"/>
        <v xml:space="preserve"> </v>
      </c>
    </row>
    <row r="174" spans="8:16" ht="15" x14ac:dyDescent="0.25">
      <c r="H174" s="50" t="str">
        <f t="shared" si="22"/>
        <v xml:space="preserve"> </v>
      </c>
      <c r="I174" s="51" t="str">
        <f t="shared" si="17"/>
        <v xml:space="preserve"> </v>
      </c>
      <c r="J174" s="51" t="str">
        <f t="shared" si="16"/>
        <v xml:space="preserve"> </v>
      </c>
      <c r="K174" s="51" t="str">
        <f t="shared" si="18"/>
        <v/>
      </c>
      <c r="L174" s="106" t="str">
        <f t="shared" si="23"/>
        <v xml:space="preserve"> </v>
      </c>
      <c r="M174" s="106" t="str">
        <f t="shared" si="19"/>
        <v xml:space="preserve"> </v>
      </c>
      <c r="N174" s="51" t="str">
        <f t="shared" si="20"/>
        <v xml:space="preserve"> </v>
      </c>
      <c r="O174" s="51"/>
      <c r="P174" s="51" t="str">
        <f t="shared" si="21"/>
        <v xml:space="preserve"> </v>
      </c>
    </row>
    <row r="175" spans="8:16" ht="15" x14ac:dyDescent="0.25">
      <c r="H175" s="50" t="str">
        <f t="shared" si="22"/>
        <v xml:space="preserve"> </v>
      </c>
      <c r="I175" s="51" t="str">
        <f t="shared" si="17"/>
        <v xml:space="preserve"> </v>
      </c>
      <c r="J175" s="51" t="str">
        <f t="shared" si="16"/>
        <v xml:space="preserve"> </v>
      </c>
      <c r="K175" s="51" t="str">
        <f t="shared" si="18"/>
        <v/>
      </c>
      <c r="L175" s="106" t="str">
        <f t="shared" si="23"/>
        <v xml:space="preserve"> </v>
      </c>
      <c r="M175" s="106" t="str">
        <f t="shared" si="19"/>
        <v xml:space="preserve"> </v>
      </c>
      <c r="N175" s="51" t="str">
        <f t="shared" si="20"/>
        <v xml:space="preserve"> </v>
      </c>
      <c r="O175" s="51"/>
      <c r="P175" s="51" t="str">
        <f t="shared" si="21"/>
        <v xml:space="preserve"> </v>
      </c>
    </row>
    <row r="176" spans="8:16" ht="15" x14ac:dyDescent="0.25">
      <c r="H176" s="50" t="str">
        <f t="shared" si="22"/>
        <v xml:space="preserve"> </v>
      </c>
      <c r="I176" s="51" t="str">
        <f t="shared" si="17"/>
        <v xml:space="preserve"> </v>
      </c>
      <c r="J176" s="51" t="str">
        <f t="shared" si="16"/>
        <v xml:space="preserve"> </v>
      </c>
      <c r="K176" s="51" t="str">
        <f t="shared" si="18"/>
        <v/>
      </c>
      <c r="L176" s="106" t="str">
        <f t="shared" si="23"/>
        <v xml:space="preserve"> </v>
      </c>
      <c r="M176" s="106" t="str">
        <f t="shared" si="19"/>
        <v xml:space="preserve"> </v>
      </c>
      <c r="N176" s="51" t="str">
        <f t="shared" si="20"/>
        <v xml:space="preserve"> </v>
      </c>
      <c r="O176" s="51"/>
      <c r="P176" s="51" t="str">
        <f t="shared" si="21"/>
        <v xml:space="preserve"> </v>
      </c>
    </row>
    <row r="177" spans="8:16" ht="15" x14ac:dyDescent="0.25">
      <c r="H177" s="50" t="str">
        <f t="shared" si="22"/>
        <v xml:space="preserve"> </v>
      </c>
      <c r="I177" s="51" t="str">
        <f t="shared" si="17"/>
        <v xml:space="preserve"> </v>
      </c>
      <c r="J177" s="51" t="str">
        <f t="shared" si="16"/>
        <v xml:space="preserve"> </v>
      </c>
      <c r="K177" s="51" t="str">
        <f t="shared" si="18"/>
        <v/>
      </c>
      <c r="L177" s="106" t="str">
        <f t="shared" si="23"/>
        <v xml:space="preserve"> </v>
      </c>
      <c r="M177" s="106" t="str">
        <f t="shared" si="19"/>
        <v xml:space="preserve"> </v>
      </c>
      <c r="N177" s="51" t="str">
        <f t="shared" si="20"/>
        <v xml:space="preserve"> </v>
      </c>
      <c r="O177" s="51"/>
      <c r="P177" s="51" t="str">
        <f t="shared" si="21"/>
        <v xml:space="preserve"> </v>
      </c>
    </row>
    <row r="178" spans="8:16" ht="15" x14ac:dyDescent="0.25">
      <c r="H178" s="50" t="str">
        <f t="shared" si="22"/>
        <v xml:space="preserve"> </v>
      </c>
      <c r="I178" s="51" t="str">
        <f t="shared" si="17"/>
        <v xml:space="preserve"> </v>
      </c>
      <c r="J178" s="51" t="str">
        <f t="shared" si="16"/>
        <v xml:space="preserve"> </v>
      </c>
      <c r="K178" s="51" t="str">
        <f t="shared" si="18"/>
        <v/>
      </c>
      <c r="L178" s="106" t="str">
        <f t="shared" si="23"/>
        <v xml:space="preserve"> </v>
      </c>
      <c r="M178" s="106" t="str">
        <f t="shared" si="19"/>
        <v xml:space="preserve"> </v>
      </c>
      <c r="N178" s="51" t="str">
        <f t="shared" si="20"/>
        <v xml:space="preserve"> </v>
      </c>
      <c r="O178" s="51"/>
      <c r="P178" s="51" t="str">
        <f t="shared" si="21"/>
        <v xml:space="preserve"> </v>
      </c>
    </row>
    <row r="179" spans="8:16" ht="15" x14ac:dyDescent="0.25">
      <c r="H179" s="50" t="str">
        <f t="shared" si="22"/>
        <v xml:space="preserve"> </v>
      </c>
      <c r="I179" s="51" t="str">
        <f t="shared" si="17"/>
        <v xml:space="preserve"> </v>
      </c>
      <c r="J179" s="51" t="str">
        <f t="shared" si="16"/>
        <v xml:space="preserve"> </v>
      </c>
      <c r="K179" s="51" t="str">
        <f t="shared" si="18"/>
        <v/>
      </c>
      <c r="L179" s="106" t="str">
        <f t="shared" si="23"/>
        <v xml:space="preserve"> </v>
      </c>
      <c r="M179" s="106" t="str">
        <f t="shared" si="19"/>
        <v xml:space="preserve"> </v>
      </c>
      <c r="N179" s="51" t="str">
        <f t="shared" si="20"/>
        <v xml:space="preserve"> </v>
      </c>
      <c r="O179" s="51"/>
      <c r="P179" s="51" t="str">
        <f t="shared" si="21"/>
        <v xml:space="preserve"> </v>
      </c>
    </row>
    <row r="180" spans="8:16" ht="15" x14ac:dyDescent="0.25">
      <c r="H180" s="50" t="str">
        <f t="shared" si="22"/>
        <v xml:space="preserve"> </v>
      </c>
      <c r="I180" s="51" t="str">
        <f t="shared" si="17"/>
        <v xml:space="preserve"> </v>
      </c>
      <c r="J180" s="51" t="str">
        <f t="shared" si="16"/>
        <v xml:space="preserve"> </v>
      </c>
      <c r="K180" s="51" t="str">
        <f t="shared" si="18"/>
        <v/>
      </c>
      <c r="L180" s="106" t="str">
        <f t="shared" si="23"/>
        <v xml:space="preserve"> </v>
      </c>
      <c r="M180" s="106" t="str">
        <f t="shared" si="19"/>
        <v xml:space="preserve"> </v>
      </c>
      <c r="N180" s="51" t="str">
        <f t="shared" si="20"/>
        <v xml:space="preserve"> </v>
      </c>
      <c r="O180" s="51"/>
      <c r="P180" s="51" t="str">
        <f t="shared" si="21"/>
        <v xml:space="preserve"> </v>
      </c>
    </row>
    <row r="181" spans="8:16" ht="15" x14ac:dyDescent="0.25">
      <c r="H181" s="50" t="str">
        <f t="shared" si="22"/>
        <v xml:space="preserve"> </v>
      </c>
      <c r="I181" s="51" t="str">
        <f t="shared" si="17"/>
        <v xml:space="preserve"> </v>
      </c>
      <c r="J181" s="51" t="str">
        <f t="shared" si="16"/>
        <v xml:space="preserve"> </v>
      </c>
      <c r="K181" s="51" t="str">
        <f t="shared" si="18"/>
        <v/>
      </c>
      <c r="L181" s="106" t="str">
        <f t="shared" si="23"/>
        <v xml:space="preserve"> </v>
      </c>
      <c r="M181" s="106" t="str">
        <f t="shared" si="19"/>
        <v xml:space="preserve"> </v>
      </c>
      <c r="N181" s="51" t="str">
        <f t="shared" si="20"/>
        <v xml:space="preserve"> </v>
      </c>
      <c r="O181" s="51"/>
      <c r="P181" s="51" t="str">
        <f t="shared" si="21"/>
        <v xml:space="preserve"> </v>
      </c>
    </row>
    <row r="182" spans="8:16" ht="15" x14ac:dyDescent="0.25">
      <c r="H182" s="50" t="str">
        <f t="shared" si="22"/>
        <v xml:space="preserve"> </v>
      </c>
      <c r="I182" s="51" t="str">
        <f t="shared" si="17"/>
        <v xml:space="preserve"> </v>
      </c>
      <c r="J182" s="51" t="str">
        <f t="shared" si="16"/>
        <v xml:space="preserve"> </v>
      </c>
      <c r="K182" s="51" t="str">
        <f t="shared" si="18"/>
        <v/>
      </c>
      <c r="L182" s="106" t="str">
        <f t="shared" si="23"/>
        <v xml:space="preserve"> </v>
      </c>
      <c r="M182" s="106" t="str">
        <f t="shared" si="19"/>
        <v xml:space="preserve"> </v>
      </c>
      <c r="N182" s="51" t="str">
        <f t="shared" si="20"/>
        <v xml:space="preserve"> </v>
      </c>
      <c r="O182" s="51"/>
      <c r="P182" s="51" t="str">
        <f t="shared" si="21"/>
        <v xml:space="preserve"> </v>
      </c>
    </row>
    <row r="183" spans="8:16" ht="15" x14ac:dyDescent="0.25">
      <c r="H183" s="50" t="str">
        <f t="shared" si="22"/>
        <v xml:space="preserve"> </v>
      </c>
      <c r="I183" s="51" t="str">
        <f t="shared" si="17"/>
        <v xml:space="preserve"> </v>
      </c>
      <c r="J183" s="51" t="str">
        <f t="shared" si="16"/>
        <v xml:space="preserve"> </v>
      </c>
      <c r="K183" s="51" t="str">
        <f t="shared" si="18"/>
        <v/>
      </c>
      <c r="L183" s="106" t="str">
        <f t="shared" si="23"/>
        <v xml:space="preserve"> </v>
      </c>
      <c r="M183" s="106" t="str">
        <f t="shared" si="19"/>
        <v xml:space="preserve"> </v>
      </c>
      <c r="N183" s="51" t="str">
        <f t="shared" si="20"/>
        <v xml:space="preserve"> </v>
      </c>
      <c r="O183" s="51"/>
      <c r="P183" s="51" t="str">
        <f t="shared" si="21"/>
        <v xml:space="preserve"> </v>
      </c>
    </row>
    <row r="184" spans="8:16" ht="15" x14ac:dyDescent="0.25">
      <c r="H184" s="50" t="str">
        <f t="shared" si="22"/>
        <v xml:space="preserve"> </v>
      </c>
      <c r="I184" s="51" t="str">
        <f t="shared" si="17"/>
        <v xml:space="preserve"> </v>
      </c>
      <c r="J184" s="51" t="str">
        <f t="shared" si="16"/>
        <v xml:space="preserve"> </v>
      </c>
      <c r="K184" s="51" t="str">
        <f t="shared" si="18"/>
        <v/>
      </c>
      <c r="L184" s="106" t="str">
        <f t="shared" si="23"/>
        <v xml:space="preserve"> </v>
      </c>
      <c r="M184" s="106" t="str">
        <f t="shared" si="19"/>
        <v xml:space="preserve"> </v>
      </c>
      <c r="N184" s="51" t="str">
        <f t="shared" si="20"/>
        <v xml:space="preserve"> </v>
      </c>
      <c r="O184" s="51"/>
      <c r="P184" s="51" t="str">
        <f t="shared" si="21"/>
        <v xml:space="preserve"> </v>
      </c>
    </row>
    <row r="185" spans="8:16" ht="15" x14ac:dyDescent="0.25">
      <c r="H185" s="50" t="str">
        <f t="shared" si="22"/>
        <v xml:space="preserve"> </v>
      </c>
      <c r="I185" s="51" t="str">
        <f t="shared" si="17"/>
        <v xml:space="preserve"> </v>
      </c>
      <c r="J185" s="51" t="str">
        <f t="shared" si="16"/>
        <v xml:space="preserve"> </v>
      </c>
      <c r="K185" s="51" t="str">
        <f t="shared" si="18"/>
        <v/>
      </c>
      <c r="L185" s="106" t="str">
        <f t="shared" si="23"/>
        <v xml:space="preserve"> </v>
      </c>
      <c r="M185" s="106" t="str">
        <f t="shared" si="19"/>
        <v xml:space="preserve"> </v>
      </c>
      <c r="N185" s="51" t="str">
        <f t="shared" si="20"/>
        <v xml:space="preserve"> </v>
      </c>
      <c r="O185" s="51"/>
      <c r="P185" s="51" t="str">
        <f t="shared" si="21"/>
        <v xml:space="preserve"> </v>
      </c>
    </row>
    <row r="186" spans="8:16" ht="15" x14ac:dyDescent="0.25">
      <c r="H186" s="50" t="str">
        <f t="shared" si="22"/>
        <v xml:space="preserve"> </v>
      </c>
      <c r="I186" s="51" t="str">
        <f t="shared" si="17"/>
        <v xml:space="preserve"> </v>
      </c>
      <c r="J186" s="51" t="str">
        <f t="shared" si="16"/>
        <v xml:space="preserve"> </v>
      </c>
      <c r="K186" s="51" t="str">
        <f t="shared" si="18"/>
        <v/>
      </c>
      <c r="L186" s="106" t="str">
        <f t="shared" si="23"/>
        <v xml:space="preserve"> </v>
      </c>
      <c r="M186" s="106" t="str">
        <f t="shared" si="19"/>
        <v xml:space="preserve"> </v>
      </c>
      <c r="N186" s="51" t="str">
        <f t="shared" si="20"/>
        <v xml:space="preserve"> </v>
      </c>
      <c r="O186" s="51"/>
      <c r="P186" s="51" t="str">
        <f t="shared" si="21"/>
        <v xml:space="preserve"> </v>
      </c>
    </row>
    <row r="187" spans="8:16" ht="15" x14ac:dyDescent="0.25">
      <c r="H187" s="50" t="str">
        <f t="shared" si="22"/>
        <v xml:space="preserve"> </v>
      </c>
      <c r="I187" s="51" t="str">
        <f t="shared" si="17"/>
        <v xml:space="preserve"> </v>
      </c>
      <c r="J187" s="51" t="str">
        <f t="shared" si="16"/>
        <v xml:space="preserve"> </v>
      </c>
      <c r="K187" s="51" t="str">
        <f t="shared" si="18"/>
        <v/>
      </c>
      <c r="L187" s="106" t="str">
        <f t="shared" si="23"/>
        <v xml:space="preserve"> </v>
      </c>
      <c r="M187" s="106" t="str">
        <f t="shared" si="19"/>
        <v xml:space="preserve"> </v>
      </c>
      <c r="N187" s="51" t="str">
        <f t="shared" si="20"/>
        <v xml:space="preserve"> </v>
      </c>
      <c r="O187" s="51"/>
      <c r="P187" s="51" t="str">
        <f t="shared" si="21"/>
        <v xml:space="preserve"> </v>
      </c>
    </row>
    <row r="188" spans="8:16" ht="15" x14ac:dyDescent="0.25">
      <c r="H188" s="50" t="str">
        <f t="shared" si="22"/>
        <v xml:space="preserve"> </v>
      </c>
      <c r="I188" s="51" t="str">
        <f t="shared" si="17"/>
        <v xml:space="preserve"> </v>
      </c>
      <c r="J188" s="51" t="str">
        <f t="shared" si="16"/>
        <v xml:space="preserve"> </v>
      </c>
      <c r="K188" s="51" t="str">
        <f t="shared" si="18"/>
        <v/>
      </c>
      <c r="L188" s="106" t="str">
        <f t="shared" si="23"/>
        <v xml:space="preserve"> </v>
      </c>
      <c r="M188" s="106" t="str">
        <f t="shared" si="19"/>
        <v xml:space="preserve"> </v>
      </c>
      <c r="N188" s="51" t="str">
        <f t="shared" si="20"/>
        <v xml:space="preserve"> </v>
      </c>
      <c r="O188" s="51"/>
      <c r="P188" s="51" t="str">
        <f t="shared" si="21"/>
        <v xml:space="preserve"> </v>
      </c>
    </row>
    <row r="189" spans="8:16" ht="15" x14ac:dyDescent="0.25">
      <c r="H189" s="50" t="str">
        <f t="shared" si="22"/>
        <v xml:space="preserve"> </v>
      </c>
      <c r="I189" s="51" t="str">
        <f t="shared" si="17"/>
        <v xml:space="preserve"> </v>
      </c>
      <c r="J189" s="51" t="str">
        <f t="shared" si="16"/>
        <v xml:space="preserve"> </v>
      </c>
      <c r="K189" s="51" t="str">
        <f t="shared" si="18"/>
        <v/>
      </c>
      <c r="L189" s="106" t="str">
        <f t="shared" si="23"/>
        <v xml:space="preserve"> </v>
      </c>
      <c r="M189" s="106" t="str">
        <f t="shared" si="19"/>
        <v xml:space="preserve"> </v>
      </c>
      <c r="N189" s="51" t="str">
        <f t="shared" si="20"/>
        <v xml:space="preserve"> </v>
      </c>
      <c r="O189" s="51"/>
      <c r="P189" s="51" t="str">
        <f t="shared" si="21"/>
        <v xml:space="preserve"> </v>
      </c>
    </row>
    <row r="190" spans="8:16" ht="15" x14ac:dyDescent="0.25">
      <c r="H190" s="50" t="str">
        <f t="shared" si="22"/>
        <v xml:space="preserve"> </v>
      </c>
      <c r="I190" s="51" t="str">
        <f t="shared" si="17"/>
        <v xml:space="preserve"> </v>
      </c>
      <c r="J190" s="51" t="str">
        <f t="shared" si="16"/>
        <v xml:space="preserve"> </v>
      </c>
      <c r="K190" s="51" t="str">
        <f t="shared" si="18"/>
        <v/>
      </c>
      <c r="L190" s="106" t="str">
        <f t="shared" si="23"/>
        <v xml:space="preserve"> </v>
      </c>
      <c r="M190" s="106" t="str">
        <f t="shared" si="19"/>
        <v xml:space="preserve"> </v>
      </c>
      <c r="N190" s="51" t="str">
        <f t="shared" si="20"/>
        <v xml:space="preserve"> </v>
      </c>
      <c r="O190" s="51"/>
      <c r="P190" s="51" t="str">
        <f t="shared" si="21"/>
        <v xml:space="preserve"> </v>
      </c>
    </row>
    <row r="191" spans="8:16" ht="15" x14ac:dyDescent="0.25">
      <c r="H191" s="50" t="str">
        <f t="shared" si="22"/>
        <v xml:space="preserve"> </v>
      </c>
      <c r="I191" s="51" t="str">
        <f t="shared" si="17"/>
        <v xml:space="preserve"> </v>
      </c>
      <c r="J191" s="51" t="str">
        <f t="shared" si="16"/>
        <v xml:space="preserve"> </v>
      </c>
      <c r="K191" s="51" t="str">
        <f t="shared" si="18"/>
        <v/>
      </c>
      <c r="L191" s="106" t="str">
        <f t="shared" si="23"/>
        <v xml:space="preserve"> </v>
      </c>
      <c r="M191" s="106" t="str">
        <f t="shared" si="19"/>
        <v xml:space="preserve"> </v>
      </c>
      <c r="N191" s="51" t="str">
        <f t="shared" si="20"/>
        <v xml:space="preserve"> </v>
      </c>
      <c r="O191" s="51"/>
      <c r="P191" s="51" t="str">
        <f t="shared" si="21"/>
        <v xml:space="preserve"> </v>
      </c>
    </row>
    <row r="192" spans="8:16" ht="15" x14ac:dyDescent="0.25">
      <c r="H192" s="50" t="str">
        <f t="shared" si="22"/>
        <v xml:space="preserve"> </v>
      </c>
      <c r="I192" s="51" t="str">
        <f t="shared" si="17"/>
        <v xml:space="preserve"> </v>
      </c>
      <c r="J192" s="51" t="str">
        <f t="shared" si="16"/>
        <v xml:space="preserve"> </v>
      </c>
      <c r="K192" s="51" t="str">
        <f t="shared" si="18"/>
        <v/>
      </c>
      <c r="L192" s="106" t="str">
        <f t="shared" si="23"/>
        <v xml:space="preserve"> </v>
      </c>
      <c r="M192" s="106" t="str">
        <f t="shared" si="19"/>
        <v xml:space="preserve"> </v>
      </c>
      <c r="N192" s="51" t="str">
        <f t="shared" si="20"/>
        <v xml:space="preserve"> </v>
      </c>
      <c r="O192" s="51"/>
      <c r="P192" s="51" t="str">
        <f t="shared" si="21"/>
        <v xml:space="preserve"> </v>
      </c>
    </row>
    <row r="193" spans="8:16" ht="15" x14ac:dyDescent="0.25">
      <c r="H193" s="50" t="str">
        <f t="shared" si="22"/>
        <v xml:space="preserve"> </v>
      </c>
      <c r="I193" s="51" t="str">
        <f t="shared" si="17"/>
        <v xml:space="preserve"> </v>
      </c>
      <c r="J193" s="51" t="str">
        <f t="shared" si="16"/>
        <v xml:space="preserve"> </v>
      </c>
      <c r="K193" s="51" t="str">
        <f t="shared" si="18"/>
        <v/>
      </c>
      <c r="L193" s="106" t="str">
        <f t="shared" si="23"/>
        <v xml:space="preserve"> </v>
      </c>
      <c r="M193" s="106" t="str">
        <f t="shared" si="19"/>
        <v xml:space="preserve"> </v>
      </c>
      <c r="N193" s="51" t="str">
        <f t="shared" si="20"/>
        <v xml:space="preserve"> </v>
      </c>
      <c r="O193" s="51"/>
      <c r="P193" s="51" t="str">
        <f t="shared" si="21"/>
        <v xml:space="preserve"> </v>
      </c>
    </row>
    <row r="194" spans="8:16" ht="15" x14ac:dyDescent="0.25">
      <c r="H194" s="50" t="str">
        <f t="shared" si="22"/>
        <v xml:space="preserve"> </v>
      </c>
      <c r="I194" s="51" t="str">
        <f t="shared" si="17"/>
        <v xml:space="preserve"> </v>
      </c>
      <c r="J194" s="51" t="str">
        <f t="shared" si="16"/>
        <v xml:space="preserve"> </v>
      </c>
      <c r="K194" s="51" t="str">
        <f t="shared" si="18"/>
        <v/>
      </c>
      <c r="L194" s="106" t="str">
        <f t="shared" si="23"/>
        <v xml:space="preserve"> </v>
      </c>
      <c r="M194" s="106" t="str">
        <f t="shared" si="19"/>
        <v xml:space="preserve"> </v>
      </c>
      <c r="N194" s="51" t="str">
        <f t="shared" si="20"/>
        <v xml:space="preserve"> </v>
      </c>
      <c r="O194" s="51"/>
      <c r="P194" s="51" t="str">
        <f t="shared" si="21"/>
        <v xml:space="preserve"> </v>
      </c>
    </row>
    <row r="195" spans="8:16" ht="15" x14ac:dyDescent="0.25">
      <c r="H195" s="50" t="str">
        <f t="shared" si="22"/>
        <v xml:space="preserve"> </v>
      </c>
      <c r="I195" s="51" t="str">
        <f t="shared" si="17"/>
        <v xml:space="preserve"> </v>
      </c>
      <c r="J195" s="51" t="str">
        <f t="shared" si="16"/>
        <v xml:space="preserve"> </v>
      </c>
      <c r="K195" s="51" t="str">
        <f t="shared" si="18"/>
        <v/>
      </c>
      <c r="L195" s="106" t="str">
        <f t="shared" si="23"/>
        <v xml:space="preserve"> </v>
      </c>
      <c r="M195" s="106" t="str">
        <f t="shared" si="19"/>
        <v xml:space="preserve"> </v>
      </c>
      <c r="N195" s="51" t="str">
        <f t="shared" si="20"/>
        <v xml:space="preserve"> </v>
      </c>
      <c r="O195" s="51"/>
      <c r="P195" s="51" t="str">
        <f t="shared" si="21"/>
        <v xml:space="preserve"> </v>
      </c>
    </row>
    <row r="196" spans="8:16" ht="15" x14ac:dyDescent="0.25">
      <c r="H196" s="50" t="str">
        <f t="shared" si="22"/>
        <v xml:space="preserve"> </v>
      </c>
      <c r="I196" s="51" t="str">
        <f t="shared" si="17"/>
        <v xml:space="preserve"> </v>
      </c>
      <c r="J196" s="51" t="str">
        <f t="shared" si="16"/>
        <v xml:space="preserve"> </v>
      </c>
      <c r="K196" s="51" t="str">
        <f t="shared" si="18"/>
        <v/>
      </c>
      <c r="L196" s="106" t="str">
        <f t="shared" si="23"/>
        <v xml:space="preserve"> </v>
      </c>
      <c r="M196" s="106" t="str">
        <f t="shared" si="19"/>
        <v xml:space="preserve"> </v>
      </c>
      <c r="N196" s="51" t="str">
        <f t="shared" si="20"/>
        <v xml:space="preserve"> </v>
      </c>
      <c r="O196" s="51"/>
      <c r="P196" s="51" t="str">
        <f t="shared" si="21"/>
        <v xml:space="preserve"> </v>
      </c>
    </row>
    <row r="197" spans="8:16" ht="15" x14ac:dyDescent="0.25">
      <c r="H197" s="50" t="str">
        <f t="shared" si="22"/>
        <v xml:space="preserve"> </v>
      </c>
      <c r="I197" s="51" t="str">
        <f t="shared" si="17"/>
        <v xml:space="preserve"> </v>
      </c>
      <c r="J197" s="51" t="str">
        <f t="shared" si="16"/>
        <v xml:space="preserve"> </v>
      </c>
      <c r="K197" s="51" t="str">
        <f t="shared" si="18"/>
        <v/>
      </c>
      <c r="L197" s="106" t="str">
        <f t="shared" si="23"/>
        <v xml:space="preserve"> </v>
      </c>
      <c r="M197" s="106" t="str">
        <f t="shared" si="19"/>
        <v xml:space="preserve"> </v>
      </c>
      <c r="N197" s="51" t="str">
        <f t="shared" si="20"/>
        <v xml:space="preserve"> </v>
      </c>
      <c r="O197" s="51"/>
      <c r="P197" s="51" t="str">
        <f t="shared" si="21"/>
        <v xml:space="preserve"> </v>
      </c>
    </row>
    <row r="198" spans="8:16" ht="15" x14ac:dyDescent="0.25">
      <c r="H198" s="50" t="str">
        <f t="shared" si="22"/>
        <v xml:space="preserve"> </v>
      </c>
      <c r="I198" s="51" t="str">
        <f t="shared" si="17"/>
        <v xml:space="preserve"> </v>
      </c>
      <c r="J198" s="51" t="str">
        <f t="shared" si="16"/>
        <v xml:space="preserve"> </v>
      </c>
      <c r="K198" s="51" t="str">
        <f t="shared" si="18"/>
        <v/>
      </c>
      <c r="L198" s="106" t="str">
        <f t="shared" si="23"/>
        <v xml:space="preserve"> </v>
      </c>
      <c r="M198" s="106" t="str">
        <f t="shared" si="19"/>
        <v xml:space="preserve"> </v>
      </c>
      <c r="N198" s="51" t="str">
        <f t="shared" si="20"/>
        <v xml:space="preserve"> </v>
      </c>
      <c r="O198" s="51"/>
      <c r="P198" s="51" t="str">
        <f t="shared" si="21"/>
        <v xml:space="preserve"> </v>
      </c>
    </row>
    <row r="199" spans="8:16" ht="15" x14ac:dyDescent="0.25">
      <c r="H199" s="50" t="str">
        <f t="shared" si="22"/>
        <v xml:space="preserve"> </v>
      </c>
      <c r="I199" s="51" t="str">
        <f t="shared" si="17"/>
        <v xml:space="preserve"> </v>
      </c>
      <c r="J199" s="51" t="str">
        <f t="shared" si="16"/>
        <v xml:space="preserve"> </v>
      </c>
      <c r="K199" s="51" t="str">
        <f t="shared" si="18"/>
        <v/>
      </c>
      <c r="L199" s="106" t="str">
        <f t="shared" si="23"/>
        <v xml:space="preserve"> </v>
      </c>
      <c r="M199" s="106" t="str">
        <f t="shared" si="19"/>
        <v xml:space="preserve"> </v>
      </c>
      <c r="N199" s="51" t="str">
        <f t="shared" si="20"/>
        <v xml:space="preserve"> </v>
      </c>
      <c r="O199" s="51"/>
      <c r="P199" s="51" t="str">
        <f t="shared" si="21"/>
        <v xml:space="preserve"> </v>
      </c>
    </row>
    <row r="200" spans="8:16" ht="15" x14ac:dyDescent="0.25">
      <c r="H200" s="50" t="str">
        <f t="shared" si="22"/>
        <v xml:space="preserve"> </v>
      </c>
      <c r="I200" s="51" t="str">
        <f t="shared" si="17"/>
        <v xml:space="preserve"> </v>
      </c>
      <c r="J200" s="51" t="str">
        <f t="shared" si="16"/>
        <v xml:space="preserve"> </v>
      </c>
      <c r="K200" s="51" t="str">
        <f t="shared" si="18"/>
        <v/>
      </c>
      <c r="L200" s="106" t="str">
        <f t="shared" si="23"/>
        <v xml:space="preserve"> </v>
      </c>
      <c r="M200" s="106" t="str">
        <f t="shared" si="19"/>
        <v xml:space="preserve"> </v>
      </c>
      <c r="N200" s="51" t="str">
        <f t="shared" si="20"/>
        <v xml:space="preserve"> </v>
      </c>
      <c r="O200" s="51"/>
      <c r="P200" s="51" t="str">
        <f t="shared" si="21"/>
        <v xml:space="preserve"> </v>
      </c>
    </row>
    <row r="201" spans="8:16" ht="15" x14ac:dyDescent="0.25">
      <c r="H201" s="50" t="str">
        <f t="shared" si="22"/>
        <v xml:space="preserve"> </v>
      </c>
      <c r="I201" s="51" t="str">
        <f t="shared" si="17"/>
        <v xml:space="preserve"> </v>
      </c>
      <c r="J201" s="51" t="str">
        <f t="shared" si="16"/>
        <v xml:space="preserve"> </v>
      </c>
      <c r="K201" s="51" t="str">
        <f t="shared" si="18"/>
        <v/>
      </c>
      <c r="L201" s="106" t="str">
        <f t="shared" si="23"/>
        <v xml:space="preserve"> </v>
      </c>
      <c r="M201" s="106" t="str">
        <f t="shared" si="19"/>
        <v xml:space="preserve"> </v>
      </c>
      <c r="N201" s="51" t="str">
        <f t="shared" si="20"/>
        <v xml:space="preserve"> </v>
      </c>
      <c r="O201" s="51"/>
      <c r="P201" s="51" t="str">
        <f t="shared" si="21"/>
        <v xml:space="preserve"> </v>
      </c>
    </row>
    <row r="202" spans="8:16" ht="15" x14ac:dyDescent="0.25">
      <c r="H202" s="50" t="str">
        <f t="shared" si="22"/>
        <v xml:space="preserve"> </v>
      </c>
      <c r="I202" s="51" t="str">
        <f t="shared" si="17"/>
        <v xml:space="preserve"> </v>
      </c>
      <c r="J202" s="51" t="str">
        <f t="shared" si="16"/>
        <v xml:space="preserve"> </v>
      </c>
      <c r="K202" s="51" t="str">
        <f t="shared" si="18"/>
        <v/>
      </c>
      <c r="L202" s="106" t="str">
        <f t="shared" si="23"/>
        <v xml:space="preserve"> </v>
      </c>
      <c r="M202" s="106" t="str">
        <f t="shared" si="19"/>
        <v xml:space="preserve"> </v>
      </c>
      <c r="N202" s="51" t="str">
        <f t="shared" si="20"/>
        <v xml:space="preserve"> </v>
      </c>
      <c r="O202" s="51"/>
      <c r="P202" s="51" t="str">
        <f t="shared" si="21"/>
        <v xml:space="preserve"> </v>
      </c>
    </row>
    <row r="203" spans="8:16" ht="15" x14ac:dyDescent="0.25">
      <c r="H203" s="50" t="str">
        <f t="shared" si="22"/>
        <v xml:space="preserve"> </v>
      </c>
      <c r="I203" s="51" t="str">
        <f t="shared" si="17"/>
        <v xml:space="preserve"> </v>
      </c>
      <c r="J203" s="51" t="str">
        <f t="shared" si="16"/>
        <v xml:space="preserve"> </v>
      </c>
      <c r="K203" s="51" t="str">
        <f t="shared" si="18"/>
        <v/>
      </c>
      <c r="L203" s="106" t="str">
        <f t="shared" si="23"/>
        <v xml:space="preserve"> </v>
      </c>
      <c r="M203" s="106" t="str">
        <f t="shared" si="19"/>
        <v xml:space="preserve"> </v>
      </c>
      <c r="N203" s="51" t="str">
        <f t="shared" si="20"/>
        <v xml:space="preserve"> </v>
      </c>
      <c r="O203" s="51"/>
      <c r="P203" s="51" t="str">
        <f t="shared" si="21"/>
        <v xml:space="preserve"> </v>
      </c>
    </row>
    <row r="204" spans="8:16" ht="15" x14ac:dyDescent="0.25">
      <c r="H204" s="50" t="str">
        <f t="shared" si="22"/>
        <v xml:space="preserve"> </v>
      </c>
      <c r="I204" s="51" t="str">
        <f t="shared" si="17"/>
        <v xml:space="preserve"> </v>
      </c>
      <c r="J204" s="51" t="str">
        <f t="shared" si="16"/>
        <v xml:space="preserve"> </v>
      </c>
      <c r="K204" s="51" t="str">
        <f t="shared" si="18"/>
        <v/>
      </c>
      <c r="L204" s="106" t="str">
        <f t="shared" si="23"/>
        <v xml:space="preserve"> </v>
      </c>
      <c r="M204" s="106" t="str">
        <f t="shared" si="19"/>
        <v xml:space="preserve"> </v>
      </c>
      <c r="N204" s="51" t="str">
        <f t="shared" si="20"/>
        <v xml:space="preserve"> </v>
      </c>
      <c r="O204" s="51"/>
      <c r="P204" s="51" t="str">
        <f t="shared" si="21"/>
        <v xml:space="preserve"> </v>
      </c>
    </row>
    <row r="205" spans="8:16" ht="15" x14ac:dyDescent="0.25">
      <c r="H205" s="50" t="str">
        <f t="shared" si="22"/>
        <v xml:space="preserve"> </v>
      </c>
      <c r="I205" s="51" t="str">
        <f t="shared" si="17"/>
        <v xml:space="preserve"> </v>
      </c>
      <c r="J205" s="51" t="str">
        <f t="shared" si="16"/>
        <v xml:space="preserve"> </v>
      </c>
      <c r="K205" s="51" t="str">
        <f t="shared" si="18"/>
        <v/>
      </c>
      <c r="L205" s="106" t="str">
        <f t="shared" si="23"/>
        <v xml:space="preserve"> </v>
      </c>
      <c r="M205" s="106" t="str">
        <f t="shared" si="19"/>
        <v xml:space="preserve"> </v>
      </c>
      <c r="N205" s="51" t="str">
        <f t="shared" si="20"/>
        <v xml:space="preserve"> </v>
      </c>
      <c r="O205" s="51"/>
      <c r="P205" s="51" t="str">
        <f t="shared" si="21"/>
        <v xml:space="preserve"> </v>
      </c>
    </row>
    <row r="206" spans="8:16" ht="15" x14ac:dyDescent="0.25">
      <c r="H206" s="50" t="str">
        <f t="shared" si="22"/>
        <v xml:space="preserve"> </v>
      </c>
      <c r="I206" s="51" t="str">
        <f t="shared" si="17"/>
        <v xml:space="preserve"> </v>
      </c>
      <c r="J206" s="51" t="str">
        <f t="shared" si="16"/>
        <v xml:space="preserve"> </v>
      </c>
      <c r="K206" s="51" t="str">
        <f t="shared" si="18"/>
        <v/>
      </c>
      <c r="L206" s="106" t="str">
        <f t="shared" si="23"/>
        <v xml:space="preserve"> </v>
      </c>
      <c r="M206" s="106" t="str">
        <f t="shared" si="19"/>
        <v xml:space="preserve"> </v>
      </c>
      <c r="N206" s="51" t="str">
        <f t="shared" si="20"/>
        <v xml:space="preserve"> </v>
      </c>
      <c r="O206" s="51"/>
      <c r="P206" s="51" t="str">
        <f t="shared" si="21"/>
        <v xml:space="preserve"> </v>
      </c>
    </row>
    <row r="207" spans="8:16" ht="15" x14ac:dyDescent="0.25">
      <c r="H207" s="50" t="str">
        <f t="shared" si="22"/>
        <v xml:space="preserve"> </v>
      </c>
      <c r="I207" s="51" t="str">
        <f t="shared" si="17"/>
        <v xml:space="preserve"> </v>
      </c>
      <c r="J207" s="51" t="str">
        <f t="shared" si="16"/>
        <v xml:space="preserve"> </v>
      </c>
      <c r="K207" s="51" t="str">
        <f t="shared" si="18"/>
        <v/>
      </c>
      <c r="L207" s="106" t="str">
        <f t="shared" si="23"/>
        <v xml:space="preserve"> </v>
      </c>
      <c r="M207" s="106" t="str">
        <f t="shared" si="19"/>
        <v xml:space="preserve"> </v>
      </c>
      <c r="N207" s="51" t="str">
        <f t="shared" si="20"/>
        <v xml:space="preserve"> </v>
      </c>
      <c r="O207" s="51"/>
      <c r="P207" s="51" t="str">
        <f t="shared" si="21"/>
        <v xml:space="preserve"> </v>
      </c>
    </row>
    <row r="208" spans="8:16" ht="15" x14ac:dyDescent="0.25">
      <c r="H208" s="50" t="str">
        <f t="shared" si="22"/>
        <v xml:space="preserve"> </v>
      </c>
      <c r="I208" s="51" t="str">
        <f t="shared" si="17"/>
        <v xml:space="preserve"> </v>
      </c>
      <c r="J208" s="51" t="str">
        <f t="shared" si="16"/>
        <v xml:space="preserve"> </v>
      </c>
      <c r="K208" s="51" t="str">
        <f t="shared" si="18"/>
        <v/>
      </c>
      <c r="L208" s="106" t="str">
        <f t="shared" si="23"/>
        <v xml:space="preserve"> </v>
      </c>
      <c r="M208" s="106" t="str">
        <f t="shared" si="19"/>
        <v xml:space="preserve"> </v>
      </c>
      <c r="N208" s="51" t="str">
        <f t="shared" si="20"/>
        <v xml:space="preserve"> </v>
      </c>
      <c r="O208" s="51"/>
      <c r="P208" s="51" t="str">
        <f t="shared" si="21"/>
        <v xml:space="preserve"> </v>
      </c>
    </row>
    <row r="209" spans="8:16" ht="15" x14ac:dyDescent="0.25">
      <c r="H209" s="50" t="str">
        <f t="shared" si="22"/>
        <v xml:space="preserve"> </v>
      </c>
      <c r="I209" s="51" t="str">
        <f t="shared" si="17"/>
        <v xml:space="preserve"> </v>
      </c>
      <c r="J209" s="51" t="str">
        <f t="shared" si="16"/>
        <v xml:space="preserve"> </v>
      </c>
      <c r="K209" s="51" t="str">
        <f t="shared" si="18"/>
        <v/>
      </c>
      <c r="L209" s="106" t="str">
        <f t="shared" si="23"/>
        <v xml:space="preserve"> </v>
      </c>
      <c r="M209" s="106" t="str">
        <f t="shared" si="19"/>
        <v xml:space="preserve"> </v>
      </c>
      <c r="N209" s="51" t="str">
        <f t="shared" si="20"/>
        <v xml:space="preserve"> </v>
      </c>
      <c r="O209" s="51"/>
      <c r="P209" s="51" t="str">
        <f t="shared" si="21"/>
        <v xml:space="preserve"> </v>
      </c>
    </row>
    <row r="210" spans="8:16" ht="15" x14ac:dyDescent="0.25">
      <c r="H210" s="50" t="str">
        <f t="shared" si="22"/>
        <v xml:space="preserve"> </v>
      </c>
      <c r="I210" s="51" t="str">
        <f t="shared" si="17"/>
        <v xml:space="preserve"> </v>
      </c>
      <c r="J210" s="51" t="str">
        <f t="shared" ref="J210:J273" si="24">IFERROR(IF(I210&lt;&gt;0,(I209-I210+(I209*$D$35*30/360))," ")," ")</f>
        <v xml:space="preserve"> </v>
      </c>
      <c r="K210" s="51" t="str">
        <f t="shared" si="18"/>
        <v/>
      </c>
      <c r="L210" s="106" t="str">
        <f t="shared" si="23"/>
        <v xml:space="preserve"> </v>
      </c>
      <c r="M210" s="106" t="str">
        <f t="shared" si="19"/>
        <v xml:space="preserve"> </v>
      </c>
      <c r="N210" s="51" t="str">
        <f t="shared" si="20"/>
        <v xml:space="preserve"> </v>
      </c>
      <c r="O210" s="51"/>
      <c r="P210" s="51" t="str">
        <f t="shared" si="21"/>
        <v xml:space="preserve"> </v>
      </c>
    </row>
    <row r="211" spans="8:16" ht="15" x14ac:dyDescent="0.25">
      <c r="H211" s="50" t="str">
        <f t="shared" si="22"/>
        <v xml:space="preserve"> </v>
      </c>
      <c r="I211" s="51" t="str">
        <f t="shared" ref="I211:I274" si="25">IF(H211&lt;=$U$17,N211*$D$37," ")</f>
        <v xml:space="preserve"> </v>
      </c>
      <c r="J211" s="51" t="str">
        <f t="shared" si="24"/>
        <v xml:space="preserve"> </v>
      </c>
      <c r="K211" s="51" t="str">
        <f t="shared" ref="K211:K274" si="26">IF(H210&lt;=$U$17,IF(credito="Francesa",IF(H211&lt;=$U$17,$K210,0),IF(credito="Alemana",IF(H211&lt;=$U$17,L211+M211,0))),"")</f>
        <v/>
      </c>
      <c r="L211" s="106" t="str">
        <f t="shared" si="23"/>
        <v xml:space="preserve"> </v>
      </c>
      <c r="M211" s="106" t="str">
        <f t="shared" ref="M211:M274" si="27">IF(H211&lt;=$U$17,IF(credito="Francesa",K211-L211,IF(credito="Alemana",IF(H211&lt;=$U$17,$M210,0)))," ")</f>
        <v xml:space="preserve"> </v>
      </c>
      <c r="N211" s="51" t="str">
        <f t="shared" ref="N211:N274" si="28">IF(H211&lt;=$U$17,N210-M211," ")</f>
        <v xml:space="preserve"> </v>
      </c>
      <c r="O211" s="51"/>
      <c r="P211" s="51" t="str">
        <f t="shared" ref="P211:P274" si="29">IFERROR(SUM(IF(H211&lt;=$U$17,-K211," "),J211)," ")</f>
        <v xml:space="preserve"> </v>
      </c>
    </row>
    <row r="212" spans="8:16" ht="15" x14ac:dyDescent="0.25">
      <c r="H212" s="50" t="str">
        <f t="shared" ref="H212:H275" si="30">IF($H211&gt;=$U$17," ",H211+1)</f>
        <v xml:space="preserve"> </v>
      </c>
      <c r="I212" s="51" t="str">
        <f t="shared" si="25"/>
        <v xml:space="preserve"> </v>
      </c>
      <c r="J212" s="51" t="str">
        <f t="shared" si="24"/>
        <v xml:space="preserve"> </v>
      </c>
      <c r="K212" s="51" t="str">
        <f t="shared" si="26"/>
        <v/>
      </c>
      <c r="L212" s="106" t="str">
        <f t="shared" ref="L212:L275" si="31">IF(H212&lt;=$U$17,N211*$D$28/$D$24," ")</f>
        <v xml:space="preserve"> </v>
      </c>
      <c r="M212" s="106" t="str">
        <f t="shared" si="27"/>
        <v xml:space="preserve"> </v>
      </c>
      <c r="N212" s="51" t="str">
        <f t="shared" si="28"/>
        <v xml:space="preserve"> </v>
      </c>
      <c r="O212" s="51"/>
      <c r="P212" s="51" t="str">
        <f t="shared" si="29"/>
        <v xml:space="preserve"> </v>
      </c>
    </row>
    <row r="213" spans="8:16" ht="15" x14ac:dyDescent="0.25">
      <c r="H213" s="50" t="str">
        <f t="shared" si="30"/>
        <v xml:space="preserve"> </v>
      </c>
      <c r="I213" s="51" t="str">
        <f t="shared" si="25"/>
        <v xml:space="preserve"> </v>
      </c>
      <c r="J213" s="51" t="str">
        <f t="shared" si="24"/>
        <v xml:space="preserve"> </v>
      </c>
      <c r="K213" s="51" t="str">
        <f t="shared" si="26"/>
        <v/>
      </c>
      <c r="L213" s="106" t="str">
        <f t="shared" si="31"/>
        <v xml:space="preserve"> </v>
      </c>
      <c r="M213" s="106" t="str">
        <f t="shared" si="27"/>
        <v xml:space="preserve"> </v>
      </c>
      <c r="N213" s="51" t="str">
        <f t="shared" si="28"/>
        <v xml:space="preserve"> </v>
      </c>
      <c r="O213" s="51"/>
      <c r="P213" s="51" t="str">
        <f t="shared" si="29"/>
        <v xml:space="preserve"> </v>
      </c>
    </row>
    <row r="214" spans="8:16" ht="15" x14ac:dyDescent="0.25">
      <c r="H214" s="50" t="str">
        <f t="shared" si="30"/>
        <v xml:space="preserve"> </v>
      </c>
      <c r="I214" s="51" t="str">
        <f t="shared" si="25"/>
        <v xml:space="preserve"> </v>
      </c>
      <c r="J214" s="51" t="str">
        <f t="shared" si="24"/>
        <v xml:space="preserve"> </v>
      </c>
      <c r="K214" s="51" t="str">
        <f t="shared" si="26"/>
        <v/>
      </c>
      <c r="L214" s="106" t="str">
        <f t="shared" si="31"/>
        <v xml:space="preserve"> </v>
      </c>
      <c r="M214" s="106" t="str">
        <f t="shared" si="27"/>
        <v xml:space="preserve"> </v>
      </c>
      <c r="N214" s="51" t="str">
        <f t="shared" si="28"/>
        <v xml:space="preserve"> </v>
      </c>
      <c r="O214" s="51"/>
      <c r="P214" s="51" t="str">
        <f t="shared" si="29"/>
        <v xml:space="preserve"> </v>
      </c>
    </row>
    <row r="215" spans="8:16" ht="15" x14ac:dyDescent="0.25">
      <c r="H215" s="50" t="str">
        <f t="shared" si="30"/>
        <v xml:space="preserve"> </v>
      </c>
      <c r="I215" s="51" t="str">
        <f t="shared" si="25"/>
        <v xml:space="preserve"> </v>
      </c>
      <c r="J215" s="51" t="str">
        <f t="shared" si="24"/>
        <v xml:space="preserve"> </v>
      </c>
      <c r="K215" s="51" t="str">
        <f t="shared" si="26"/>
        <v/>
      </c>
      <c r="L215" s="106" t="str">
        <f t="shared" si="31"/>
        <v xml:space="preserve"> </v>
      </c>
      <c r="M215" s="106" t="str">
        <f t="shared" si="27"/>
        <v xml:space="preserve"> </v>
      </c>
      <c r="N215" s="51" t="str">
        <f t="shared" si="28"/>
        <v xml:space="preserve"> </v>
      </c>
      <c r="O215" s="51"/>
      <c r="P215" s="51" t="str">
        <f t="shared" si="29"/>
        <v xml:space="preserve"> </v>
      </c>
    </row>
    <row r="216" spans="8:16" ht="15" x14ac:dyDescent="0.25">
      <c r="H216" s="50" t="str">
        <f t="shared" si="30"/>
        <v xml:space="preserve"> </v>
      </c>
      <c r="I216" s="51" t="str">
        <f t="shared" si="25"/>
        <v xml:space="preserve"> </v>
      </c>
      <c r="J216" s="51" t="str">
        <f t="shared" si="24"/>
        <v xml:space="preserve"> </v>
      </c>
      <c r="K216" s="51" t="str">
        <f t="shared" si="26"/>
        <v/>
      </c>
      <c r="L216" s="106" t="str">
        <f t="shared" si="31"/>
        <v xml:space="preserve"> </v>
      </c>
      <c r="M216" s="106" t="str">
        <f t="shared" si="27"/>
        <v xml:space="preserve"> </v>
      </c>
      <c r="N216" s="51" t="str">
        <f t="shared" si="28"/>
        <v xml:space="preserve"> </v>
      </c>
      <c r="O216" s="51"/>
      <c r="P216" s="51" t="str">
        <f t="shared" si="29"/>
        <v xml:space="preserve"> </v>
      </c>
    </row>
    <row r="217" spans="8:16" ht="15" x14ac:dyDescent="0.25">
      <c r="H217" s="50" t="str">
        <f t="shared" si="30"/>
        <v xml:space="preserve"> </v>
      </c>
      <c r="I217" s="51" t="str">
        <f t="shared" si="25"/>
        <v xml:space="preserve"> </v>
      </c>
      <c r="J217" s="51" t="str">
        <f t="shared" si="24"/>
        <v xml:space="preserve"> </v>
      </c>
      <c r="K217" s="51" t="str">
        <f t="shared" si="26"/>
        <v/>
      </c>
      <c r="L217" s="106" t="str">
        <f t="shared" si="31"/>
        <v xml:space="preserve"> </v>
      </c>
      <c r="M217" s="106" t="str">
        <f t="shared" si="27"/>
        <v xml:space="preserve"> </v>
      </c>
      <c r="N217" s="51" t="str">
        <f t="shared" si="28"/>
        <v xml:space="preserve"> </v>
      </c>
      <c r="O217" s="51"/>
      <c r="P217" s="51" t="str">
        <f t="shared" si="29"/>
        <v xml:space="preserve"> </v>
      </c>
    </row>
    <row r="218" spans="8:16" ht="15" x14ac:dyDescent="0.25">
      <c r="H218" s="50" t="str">
        <f t="shared" si="30"/>
        <v xml:space="preserve"> </v>
      </c>
      <c r="I218" s="51" t="str">
        <f t="shared" si="25"/>
        <v xml:space="preserve"> </v>
      </c>
      <c r="J218" s="51" t="str">
        <f t="shared" si="24"/>
        <v xml:space="preserve"> </v>
      </c>
      <c r="K218" s="51" t="str">
        <f t="shared" si="26"/>
        <v/>
      </c>
      <c r="L218" s="106" t="str">
        <f t="shared" si="31"/>
        <v xml:space="preserve"> </v>
      </c>
      <c r="M218" s="106" t="str">
        <f t="shared" si="27"/>
        <v xml:space="preserve"> </v>
      </c>
      <c r="N218" s="51" t="str">
        <f t="shared" si="28"/>
        <v xml:space="preserve"> </v>
      </c>
      <c r="O218" s="51"/>
      <c r="P218" s="51" t="str">
        <f t="shared" si="29"/>
        <v xml:space="preserve"> </v>
      </c>
    </row>
    <row r="219" spans="8:16" ht="15" x14ac:dyDescent="0.25">
      <c r="H219" s="50" t="str">
        <f t="shared" si="30"/>
        <v xml:space="preserve"> </v>
      </c>
      <c r="I219" s="51" t="str">
        <f t="shared" si="25"/>
        <v xml:space="preserve"> </v>
      </c>
      <c r="J219" s="51" t="str">
        <f t="shared" si="24"/>
        <v xml:space="preserve"> </v>
      </c>
      <c r="K219" s="51" t="str">
        <f t="shared" si="26"/>
        <v/>
      </c>
      <c r="L219" s="106" t="str">
        <f t="shared" si="31"/>
        <v xml:space="preserve"> </v>
      </c>
      <c r="M219" s="106" t="str">
        <f t="shared" si="27"/>
        <v xml:space="preserve"> </v>
      </c>
      <c r="N219" s="51" t="str">
        <f t="shared" si="28"/>
        <v xml:space="preserve"> </v>
      </c>
      <c r="O219" s="51"/>
      <c r="P219" s="51" t="str">
        <f t="shared" si="29"/>
        <v xml:space="preserve"> </v>
      </c>
    </row>
    <row r="220" spans="8:16" ht="15" x14ac:dyDescent="0.25">
      <c r="H220" s="50" t="str">
        <f t="shared" si="30"/>
        <v xml:space="preserve"> </v>
      </c>
      <c r="I220" s="51" t="str">
        <f t="shared" si="25"/>
        <v xml:space="preserve"> </v>
      </c>
      <c r="J220" s="51" t="str">
        <f t="shared" si="24"/>
        <v xml:space="preserve"> </v>
      </c>
      <c r="K220" s="51" t="str">
        <f t="shared" si="26"/>
        <v/>
      </c>
      <c r="L220" s="106" t="str">
        <f t="shared" si="31"/>
        <v xml:space="preserve"> </v>
      </c>
      <c r="M220" s="106" t="str">
        <f t="shared" si="27"/>
        <v xml:space="preserve"> </v>
      </c>
      <c r="N220" s="51" t="str">
        <f t="shared" si="28"/>
        <v xml:space="preserve"> </v>
      </c>
      <c r="O220" s="51"/>
      <c r="P220" s="51" t="str">
        <f t="shared" si="29"/>
        <v xml:space="preserve"> </v>
      </c>
    </row>
    <row r="221" spans="8:16" ht="15" x14ac:dyDescent="0.25">
      <c r="H221" s="50" t="str">
        <f t="shared" si="30"/>
        <v xml:space="preserve"> </v>
      </c>
      <c r="I221" s="51" t="str">
        <f t="shared" si="25"/>
        <v xml:space="preserve"> </v>
      </c>
      <c r="J221" s="51" t="str">
        <f t="shared" si="24"/>
        <v xml:space="preserve"> </v>
      </c>
      <c r="K221" s="51" t="str">
        <f t="shared" si="26"/>
        <v/>
      </c>
      <c r="L221" s="106" t="str">
        <f t="shared" si="31"/>
        <v xml:space="preserve"> </v>
      </c>
      <c r="M221" s="106" t="str">
        <f t="shared" si="27"/>
        <v xml:space="preserve"> </v>
      </c>
      <c r="N221" s="51" t="str">
        <f t="shared" si="28"/>
        <v xml:space="preserve"> </v>
      </c>
      <c r="O221" s="51"/>
      <c r="P221" s="51" t="str">
        <f t="shared" si="29"/>
        <v xml:space="preserve"> </v>
      </c>
    </row>
    <row r="222" spans="8:16" ht="15" x14ac:dyDescent="0.25">
      <c r="H222" s="50" t="str">
        <f t="shared" si="30"/>
        <v xml:space="preserve"> </v>
      </c>
      <c r="I222" s="51" t="str">
        <f t="shared" si="25"/>
        <v xml:space="preserve"> </v>
      </c>
      <c r="J222" s="51" t="str">
        <f t="shared" si="24"/>
        <v xml:space="preserve"> </v>
      </c>
      <c r="K222" s="51" t="str">
        <f t="shared" si="26"/>
        <v/>
      </c>
      <c r="L222" s="106" t="str">
        <f t="shared" si="31"/>
        <v xml:space="preserve"> </v>
      </c>
      <c r="M222" s="106" t="str">
        <f t="shared" si="27"/>
        <v xml:space="preserve"> </v>
      </c>
      <c r="N222" s="51" t="str">
        <f t="shared" si="28"/>
        <v xml:space="preserve"> </v>
      </c>
      <c r="O222" s="51"/>
      <c r="P222" s="51" t="str">
        <f t="shared" si="29"/>
        <v xml:space="preserve"> </v>
      </c>
    </row>
    <row r="223" spans="8:16" ht="15" x14ac:dyDescent="0.25">
      <c r="H223" s="50" t="str">
        <f t="shared" si="30"/>
        <v xml:space="preserve"> </v>
      </c>
      <c r="I223" s="51" t="str">
        <f t="shared" si="25"/>
        <v xml:space="preserve"> </v>
      </c>
      <c r="J223" s="51" t="str">
        <f t="shared" si="24"/>
        <v xml:space="preserve"> </v>
      </c>
      <c r="K223" s="51" t="str">
        <f t="shared" si="26"/>
        <v/>
      </c>
      <c r="L223" s="106" t="str">
        <f t="shared" si="31"/>
        <v xml:space="preserve"> </v>
      </c>
      <c r="M223" s="106" t="str">
        <f t="shared" si="27"/>
        <v xml:space="preserve"> </v>
      </c>
      <c r="N223" s="51" t="str">
        <f t="shared" si="28"/>
        <v xml:space="preserve"> </v>
      </c>
      <c r="O223" s="51"/>
      <c r="P223" s="51" t="str">
        <f t="shared" si="29"/>
        <v xml:space="preserve"> </v>
      </c>
    </row>
    <row r="224" spans="8:16" ht="15" x14ac:dyDescent="0.25">
      <c r="H224" s="50" t="str">
        <f t="shared" si="30"/>
        <v xml:space="preserve"> </v>
      </c>
      <c r="I224" s="51" t="str">
        <f t="shared" si="25"/>
        <v xml:space="preserve"> </v>
      </c>
      <c r="J224" s="51" t="str">
        <f t="shared" si="24"/>
        <v xml:space="preserve"> </v>
      </c>
      <c r="K224" s="51" t="str">
        <f t="shared" si="26"/>
        <v/>
      </c>
      <c r="L224" s="106" t="str">
        <f t="shared" si="31"/>
        <v xml:space="preserve"> </v>
      </c>
      <c r="M224" s="106" t="str">
        <f t="shared" si="27"/>
        <v xml:space="preserve"> </v>
      </c>
      <c r="N224" s="51" t="str">
        <f t="shared" si="28"/>
        <v xml:space="preserve"> </v>
      </c>
      <c r="O224" s="51"/>
      <c r="P224" s="51" t="str">
        <f t="shared" si="29"/>
        <v xml:space="preserve"> </v>
      </c>
    </row>
    <row r="225" spans="8:16" ht="15" x14ac:dyDescent="0.25">
      <c r="H225" s="50" t="str">
        <f t="shared" si="30"/>
        <v xml:space="preserve"> </v>
      </c>
      <c r="I225" s="51" t="str">
        <f t="shared" si="25"/>
        <v xml:space="preserve"> </v>
      </c>
      <c r="J225" s="51" t="str">
        <f t="shared" si="24"/>
        <v xml:space="preserve"> </v>
      </c>
      <c r="K225" s="51" t="str">
        <f t="shared" si="26"/>
        <v/>
      </c>
      <c r="L225" s="106" t="str">
        <f t="shared" si="31"/>
        <v xml:space="preserve"> </v>
      </c>
      <c r="M225" s="106" t="str">
        <f t="shared" si="27"/>
        <v xml:space="preserve"> </v>
      </c>
      <c r="N225" s="51" t="str">
        <f t="shared" si="28"/>
        <v xml:space="preserve"> </v>
      </c>
      <c r="O225" s="51"/>
      <c r="P225" s="51" t="str">
        <f t="shared" si="29"/>
        <v xml:space="preserve"> </v>
      </c>
    </row>
    <row r="226" spans="8:16" ht="15" x14ac:dyDescent="0.25">
      <c r="H226" s="50" t="str">
        <f t="shared" si="30"/>
        <v xml:space="preserve"> </v>
      </c>
      <c r="I226" s="51" t="str">
        <f t="shared" si="25"/>
        <v xml:space="preserve"> </v>
      </c>
      <c r="J226" s="51" t="str">
        <f t="shared" si="24"/>
        <v xml:space="preserve"> </v>
      </c>
      <c r="K226" s="51" t="str">
        <f t="shared" si="26"/>
        <v/>
      </c>
      <c r="L226" s="106" t="str">
        <f t="shared" si="31"/>
        <v xml:space="preserve"> </v>
      </c>
      <c r="M226" s="106" t="str">
        <f t="shared" si="27"/>
        <v xml:space="preserve"> </v>
      </c>
      <c r="N226" s="51" t="str">
        <f t="shared" si="28"/>
        <v xml:space="preserve"> </v>
      </c>
      <c r="O226" s="51"/>
      <c r="P226" s="51" t="str">
        <f t="shared" si="29"/>
        <v xml:space="preserve"> </v>
      </c>
    </row>
    <row r="227" spans="8:16" ht="15" x14ac:dyDescent="0.25">
      <c r="H227" s="50" t="str">
        <f t="shared" si="30"/>
        <v xml:space="preserve"> </v>
      </c>
      <c r="I227" s="51" t="str">
        <f t="shared" si="25"/>
        <v xml:space="preserve"> </v>
      </c>
      <c r="J227" s="51" t="str">
        <f t="shared" si="24"/>
        <v xml:space="preserve"> </v>
      </c>
      <c r="K227" s="51" t="str">
        <f t="shared" si="26"/>
        <v/>
      </c>
      <c r="L227" s="106" t="str">
        <f t="shared" si="31"/>
        <v xml:space="preserve"> </v>
      </c>
      <c r="M227" s="106" t="str">
        <f t="shared" si="27"/>
        <v xml:space="preserve"> </v>
      </c>
      <c r="N227" s="51" t="str">
        <f t="shared" si="28"/>
        <v xml:space="preserve"> </v>
      </c>
      <c r="O227" s="51"/>
      <c r="P227" s="51" t="str">
        <f t="shared" si="29"/>
        <v xml:space="preserve"> </v>
      </c>
    </row>
    <row r="228" spans="8:16" ht="15" x14ac:dyDescent="0.25">
      <c r="H228" s="50" t="str">
        <f t="shared" si="30"/>
        <v xml:space="preserve"> </v>
      </c>
      <c r="I228" s="51" t="str">
        <f t="shared" si="25"/>
        <v xml:space="preserve"> </v>
      </c>
      <c r="J228" s="51" t="str">
        <f t="shared" si="24"/>
        <v xml:space="preserve"> </v>
      </c>
      <c r="K228" s="51" t="str">
        <f t="shared" si="26"/>
        <v/>
      </c>
      <c r="L228" s="106" t="str">
        <f t="shared" si="31"/>
        <v xml:space="preserve"> </v>
      </c>
      <c r="M228" s="106" t="str">
        <f t="shared" si="27"/>
        <v xml:space="preserve"> </v>
      </c>
      <c r="N228" s="51" t="str">
        <f t="shared" si="28"/>
        <v xml:space="preserve"> </v>
      </c>
      <c r="O228" s="51"/>
      <c r="P228" s="51" t="str">
        <f t="shared" si="29"/>
        <v xml:space="preserve"> </v>
      </c>
    </row>
    <row r="229" spans="8:16" ht="15" x14ac:dyDescent="0.25">
      <c r="H229" s="50" t="str">
        <f t="shared" si="30"/>
        <v xml:space="preserve"> </v>
      </c>
      <c r="I229" s="51" t="str">
        <f t="shared" si="25"/>
        <v xml:space="preserve"> </v>
      </c>
      <c r="J229" s="51" t="str">
        <f t="shared" si="24"/>
        <v xml:space="preserve"> </v>
      </c>
      <c r="K229" s="51" t="str">
        <f t="shared" si="26"/>
        <v/>
      </c>
      <c r="L229" s="106" t="str">
        <f t="shared" si="31"/>
        <v xml:space="preserve"> </v>
      </c>
      <c r="M229" s="106" t="str">
        <f t="shared" si="27"/>
        <v xml:space="preserve"> </v>
      </c>
      <c r="N229" s="51" t="str">
        <f t="shared" si="28"/>
        <v xml:space="preserve"> </v>
      </c>
      <c r="O229" s="51"/>
      <c r="P229" s="51" t="str">
        <f t="shared" si="29"/>
        <v xml:space="preserve"> </v>
      </c>
    </row>
    <row r="230" spans="8:16" ht="15" x14ac:dyDescent="0.25">
      <c r="H230" s="50" t="str">
        <f t="shared" si="30"/>
        <v xml:space="preserve"> </v>
      </c>
      <c r="I230" s="51" t="str">
        <f t="shared" si="25"/>
        <v xml:space="preserve"> </v>
      </c>
      <c r="J230" s="51" t="str">
        <f t="shared" si="24"/>
        <v xml:space="preserve"> </v>
      </c>
      <c r="K230" s="51" t="str">
        <f t="shared" si="26"/>
        <v/>
      </c>
      <c r="L230" s="106" t="str">
        <f t="shared" si="31"/>
        <v xml:space="preserve"> </v>
      </c>
      <c r="M230" s="106" t="str">
        <f t="shared" si="27"/>
        <v xml:space="preserve"> </v>
      </c>
      <c r="N230" s="51" t="str">
        <f t="shared" si="28"/>
        <v xml:space="preserve"> </v>
      </c>
      <c r="O230" s="51"/>
      <c r="P230" s="51" t="str">
        <f t="shared" si="29"/>
        <v xml:space="preserve"> </v>
      </c>
    </row>
    <row r="231" spans="8:16" ht="15" x14ac:dyDescent="0.25">
      <c r="H231" s="50" t="str">
        <f t="shared" si="30"/>
        <v xml:space="preserve"> </v>
      </c>
      <c r="I231" s="51" t="str">
        <f t="shared" si="25"/>
        <v xml:space="preserve"> </v>
      </c>
      <c r="J231" s="51" t="str">
        <f t="shared" si="24"/>
        <v xml:space="preserve"> </v>
      </c>
      <c r="K231" s="51" t="str">
        <f t="shared" si="26"/>
        <v/>
      </c>
      <c r="L231" s="106" t="str">
        <f t="shared" si="31"/>
        <v xml:space="preserve"> </v>
      </c>
      <c r="M231" s="106" t="str">
        <f t="shared" si="27"/>
        <v xml:space="preserve"> </v>
      </c>
      <c r="N231" s="51" t="str">
        <f t="shared" si="28"/>
        <v xml:space="preserve"> </v>
      </c>
      <c r="O231" s="51"/>
      <c r="P231" s="51" t="str">
        <f t="shared" si="29"/>
        <v xml:space="preserve"> </v>
      </c>
    </row>
    <row r="232" spans="8:16" ht="15" x14ac:dyDescent="0.25">
      <c r="H232" s="50" t="str">
        <f t="shared" si="30"/>
        <v xml:space="preserve"> </v>
      </c>
      <c r="I232" s="51" t="str">
        <f t="shared" si="25"/>
        <v xml:space="preserve"> </v>
      </c>
      <c r="J232" s="51" t="str">
        <f t="shared" si="24"/>
        <v xml:space="preserve"> </v>
      </c>
      <c r="K232" s="51" t="str">
        <f t="shared" si="26"/>
        <v/>
      </c>
      <c r="L232" s="106" t="str">
        <f t="shared" si="31"/>
        <v xml:space="preserve"> </v>
      </c>
      <c r="M232" s="106" t="str">
        <f t="shared" si="27"/>
        <v xml:space="preserve"> </v>
      </c>
      <c r="N232" s="51" t="str">
        <f t="shared" si="28"/>
        <v xml:space="preserve"> </v>
      </c>
      <c r="O232" s="51"/>
      <c r="P232" s="51" t="str">
        <f t="shared" si="29"/>
        <v xml:space="preserve"> </v>
      </c>
    </row>
    <row r="233" spans="8:16" ht="15" x14ac:dyDescent="0.25">
      <c r="H233" s="50" t="str">
        <f t="shared" si="30"/>
        <v xml:space="preserve"> </v>
      </c>
      <c r="I233" s="51" t="str">
        <f t="shared" si="25"/>
        <v xml:space="preserve"> </v>
      </c>
      <c r="J233" s="51" t="str">
        <f t="shared" si="24"/>
        <v xml:space="preserve"> </v>
      </c>
      <c r="K233" s="51" t="str">
        <f t="shared" si="26"/>
        <v/>
      </c>
      <c r="L233" s="106" t="str">
        <f t="shared" si="31"/>
        <v xml:space="preserve"> </v>
      </c>
      <c r="M233" s="106" t="str">
        <f t="shared" si="27"/>
        <v xml:space="preserve"> </v>
      </c>
      <c r="N233" s="51" t="str">
        <f t="shared" si="28"/>
        <v xml:space="preserve"> </v>
      </c>
      <c r="O233" s="51"/>
      <c r="P233" s="51" t="str">
        <f t="shared" si="29"/>
        <v xml:space="preserve"> </v>
      </c>
    </row>
    <row r="234" spans="8:16" ht="15" x14ac:dyDescent="0.25">
      <c r="H234" s="50" t="str">
        <f t="shared" si="30"/>
        <v xml:space="preserve"> </v>
      </c>
      <c r="I234" s="51" t="str">
        <f t="shared" si="25"/>
        <v xml:space="preserve"> </v>
      </c>
      <c r="J234" s="51" t="str">
        <f t="shared" si="24"/>
        <v xml:space="preserve"> </v>
      </c>
      <c r="K234" s="51" t="str">
        <f t="shared" si="26"/>
        <v/>
      </c>
      <c r="L234" s="106" t="str">
        <f t="shared" si="31"/>
        <v xml:space="preserve"> </v>
      </c>
      <c r="M234" s="106" t="str">
        <f t="shared" si="27"/>
        <v xml:space="preserve"> </v>
      </c>
      <c r="N234" s="51" t="str">
        <f t="shared" si="28"/>
        <v xml:space="preserve"> </v>
      </c>
      <c r="O234" s="51"/>
      <c r="P234" s="51" t="str">
        <f t="shared" si="29"/>
        <v xml:space="preserve"> </v>
      </c>
    </row>
    <row r="235" spans="8:16" ht="15" x14ac:dyDescent="0.25">
      <c r="H235" s="50" t="str">
        <f t="shared" si="30"/>
        <v xml:space="preserve"> </v>
      </c>
      <c r="I235" s="51" t="str">
        <f t="shared" si="25"/>
        <v xml:space="preserve"> </v>
      </c>
      <c r="J235" s="51" t="str">
        <f t="shared" si="24"/>
        <v xml:space="preserve"> </v>
      </c>
      <c r="K235" s="51" t="str">
        <f t="shared" si="26"/>
        <v/>
      </c>
      <c r="L235" s="106" t="str">
        <f t="shared" si="31"/>
        <v xml:space="preserve"> </v>
      </c>
      <c r="M235" s="106" t="str">
        <f t="shared" si="27"/>
        <v xml:space="preserve"> </v>
      </c>
      <c r="N235" s="51" t="str">
        <f t="shared" si="28"/>
        <v xml:space="preserve"> </v>
      </c>
      <c r="O235" s="51"/>
      <c r="P235" s="51" t="str">
        <f t="shared" si="29"/>
        <v xml:space="preserve"> </v>
      </c>
    </row>
    <row r="236" spans="8:16" ht="15" x14ac:dyDescent="0.25">
      <c r="H236" s="50" t="str">
        <f t="shared" si="30"/>
        <v xml:space="preserve"> </v>
      </c>
      <c r="I236" s="51" t="str">
        <f t="shared" si="25"/>
        <v xml:space="preserve"> </v>
      </c>
      <c r="J236" s="51" t="str">
        <f t="shared" si="24"/>
        <v xml:space="preserve"> </v>
      </c>
      <c r="K236" s="51" t="str">
        <f t="shared" si="26"/>
        <v/>
      </c>
      <c r="L236" s="106" t="str">
        <f t="shared" si="31"/>
        <v xml:space="preserve"> </v>
      </c>
      <c r="M236" s="106" t="str">
        <f t="shared" si="27"/>
        <v xml:space="preserve"> </v>
      </c>
      <c r="N236" s="51" t="str">
        <f t="shared" si="28"/>
        <v xml:space="preserve"> </v>
      </c>
      <c r="O236" s="51"/>
      <c r="P236" s="51" t="str">
        <f t="shared" si="29"/>
        <v xml:space="preserve"> </v>
      </c>
    </row>
    <row r="237" spans="8:16" ht="15" x14ac:dyDescent="0.25">
      <c r="H237" s="50" t="str">
        <f t="shared" si="30"/>
        <v xml:space="preserve"> </v>
      </c>
      <c r="I237" s="51" t="str">
        <f t="shared" si="25"/>
        <v xml:space="preserve"> </v>
      </c>
      <c r="J237" s="51" t="str">
        <f t="shared" si="24"/>
        <v xml:space="preserve"> </v>
      </c>
      <c r="K237" s="51" t="str">
        <f t="shared" si="26"/>
        <v/>
      </c>
      <c r="L237" s="106" t="str">
        <f t="shared" si="31"/>
        <v xml:space="preserve"> </v>
      </c>
      <c r="M237" s="106" t="str">
        <f t="shared" si="27"/>
        <v xml:space="preserve"> </v>
      </c>
      <c r="N237" s="51" t="str">
        <f t="shared" si="28"/>
        <v xml:space="preserve"> </v>
      </c>
      <c r="O237" s="51"/>
      <c r="P237" s="51" t="str">
        <f t="shared" si="29"/>
        <v xml:space="preserve"> </v>
      </c>
    </row>
    <row r="238" spans="8:16" ht="15" x14ac:dyDescent="0.25">
      <c r="H238" s="50" t="str">
        <f t="shared" si="30"/>
        <v xml:space="preserve"> </v>
      </c>
      <c r="I238" s="51" t="str">
        <f t="shared" si="25"/>
        <v xml:space="preserve"> </v>
      </c>
      <c r="J238" s="51" t="str">
        <f t="shared" si="24"/>
        <v xml:space="preserve"> </v>
      </c>
      <c r="K238" s="51" t="str">
        <f t="shared" si="26"/>
        <v/>
      </c>
      <c r="L238" s="106" t="str">
        <f t="shared" si="31"/>
        <v xml:space="preserve"> </v>
      </c>
      <c r="M238" s="106" t="str">
        <f t="shared" si="27"/>
        <v xml:space="preserve"> </v>
      </c>
      <c r="N238" s="51" t="str">
        <f t="shared" si="28"/>
        <v xml:space="preserve"> </v>
      </c>
      <c r="O238" s="51"/>
      <c r="P238" s="51" t="str">
        <f t="shared" si="29"/>
        <v xml:space="preserve"> </v>
      </c>
    </row>
    <row r="239" spans="8:16" ht="15" x14ac:dyDescent="0.25">
      <c r="H239" s="50" t="str">
        <f t="shared" si="30"/>
        <v xml:space="preserve"> </v>
      </c>
      <c r="I239" s="51" t="str">
        <f t="shared" si="25"/>
        <v xml:space="preserve"> </v>
      </c>
      <c r="J239" s="51" t="str">
        <f t="shared" si="24"/>
        <v xml:space="preserve"> </v>
      </c>
      <c r="K239" s="51" t="str">
        <f t="shared" si="26"/>
        <v/>
      </c>
      <c r="L239" s="106" t="str">
        <f t="shared" si="31"/>
        <v xml:space="preserve"> </v>
      </c>
      <c r="M239" s="106" t="str">
        <f t="shared" si="27"/>
        <v xml:space="preserve"> </v>
      </c>
      <c r="N239" s="51" t="str">
        <f t="shared" si="28"/>
        <v xml:space="preserve"> </v>
      </c>
      <c r="O239" s="51"/>
      <c r="P239" s="51" t="str">
        <f t="shared" si="29"/>
        <v xml:space="preserve"> </v>
      </c>
    </row>
    <row r="240" spans="8:16" ht="15" x14ac:dyDescent="0.25">
      <c r="H240" s="50" t="str">
        <f t="shared" si="30"/>
        <v xml:space="preserve"> </v>
      </c>
      <c r="I240" s="51" t="str">
        <f t="shared" si="25"/>
        <v xml:space="preserve"> </v>
      </c>
      <c r="J240" s="51" t="str">
        <f t="shared" si="24"/>
        <v xml:space="preserve"> </v>
      </c>
      <c r="K240" s="51" t="str">
        <f t="shared" si="26"/>
        <v/>
      </c>
      <c r="L240" s="106" t="str">
        <f t="shared" si="31"/>
        <v xml:space="preserve"> </v>
      </c>
      <c r="M240" s="106" t="str">
        <f t="shared" si="27"/>
        <v xml:space="preserve"> </v>
      </c>
      <c r="N240" s="51" t="str">
        <f t="shared" si="28"/>
        <v xml:space="preserve"> </v>
      </c>
      <c r="O240" s="51"/>
      <c r="P240" s="51" t="str">
        <f t="shared" si="29"/>
        <v xml:space="preserve"> </v>
      </c>
    </row>
    <row r="241" spans="8:16" ht="15" x14ac:dyDescent="0.25">
      <c r="H241" s="50" t="str">
        <f t="shared" si="30"/>
        <v xml:space="preserve"> </v>
      </c>
      <c r="I241" s="51" t="str">
        <f t="shared" si="25"/>
        <v xml:space="preserve"> </v>
      </c>
      <c r="J241" s="51" t="str">
        <f t="shared" si="24"/>
        <v xml:space="preserve"> </v>
      </c>
      <c r="K241" s="51" t="str">
        <f t="shared" si="26"/>
        <v/>
      </c>
      <c r="L241" s="106" t="str">
        <f t="shared" si="31"/>
        <v xml:space="preserve"> </v>
      </c>
      <c r="M241" s="106" t="str">
        <f t="shared" si="27"/>
        <v xml:space="preserve"> </v>
      </c>
      <c r="N241" s="51" t="str">
        <f t="shared" si="28"/>
        <v xml:space="preserve"> </v>
      </c>
      <c r="O241" s="51"/>
      <c r="P241" s="51" t="str">
        <f t="shared" si="29"/>
        <v xml:space="preserve"> </v>
      </c>
    </row>
    <row r="242" spans="8:16" ht="15" x14ac:dyDescent="0.25">
      <c r="H242" s="50" t="str">
        <f t="shared" si="30"/>
        <v xml:space="preserve"> </v>
      </c>
      <c r="I242" s="51" t="str">
        <f t="shared" si="25"/>
        <v xml:space="preserve"> </v>
      </c>
      <c r="J242" s="51" t="str">
        <f t="shared" si="24"/>
        <v xml:space="preserve"> </v>
      </c>
      <c r="K242" s="51" t="str">
        <f t="shared" si="26"/>
        <v/>
      </c>
      <c r="L242" s="106" t="str">
        <f t="shared" si="31"/>
        <v xml:space="preserve"> </v>
      </c>
      <c r="M242" s="106" t="str">
        <f t="shared" si="27"/>
        <v xml:space="preserve"> </v>
      </c>
      <c r="N242" s="51" t="str">
        <f t="shared" si="28"/>
        <v xml:space="preserve"> </v>
      </c>
      <c r="O242" s="51"/>
      <c r="P242" s="51" t="str">
        <f t="shared" si="29"/>
        <v xml:space="preserve"> </v>
      </c>
    </row>
    <row r="243" spans="8:16" ht="15" x14ac:dyDescent="0.25">
      <c r="H243" s="50" t="str">
        <f t="shared" si="30"/>
        <v xml:space="preserve"> </v>
      </c>
      <c r="I243" s="51" t="str">
        <f t="shared" si="25"/>
        <v xml:space="preserve"> </v>
      </c>
      <c r="J243" s="51" t="str">
        <f t="shared" si="24"/>
        <v xml:space="preserve"> </v>
      </c>
      <c r="K243" s="51" t="str">
        <f t="shared" si="26"/>
        <v/>
      </c>
      <c r="L243" s="106" t="str">
        <f t="shared" si="31"/>
        <v xml:space="preserve"> </v>
      </c>
      <c r="M243" s="106" t="str">
        <f t="shared" si="27"/>
        <v xml:space="preserve"> </v>
      </c>
      <c r="N243" s="51" t="str">
        <f t="shared" si="28"/>
        <v xml:space="preserve"> </v>
      </c>
      <c r="O243" s="51"/>
      <c r="P243" s="51" t="str">
        <f t="shared" si="29"/>
        <v xml:space="preserve"> </v>
      </c>
    </row>
    <row r="244" spans="8:16" ht="15" x14ac:dyDescent="0.25">
      <c r="H244" s="50" t="str">
        <f t="shared" si="30"/>
        <v xml:space="preserve"> </v>
      </c>
      <c r="I244" s="51" t="str">
        <f t="shared" si="25"/>
        <v xml:space="preserve"> </v>
      </c>
      <c r="J244" s="51" t="str">
        <f t="shared" si="24"/>
        <v xml:space="preserve"> </v>
      </c>
      <c r="K244" s="51" t="str">
        <f t="shared" si="26"/>
        <v/>
      </c>
      <c r="L244" s="106" t="str">
        <f t="shared" si="31"/>
        <v xml:space="preserve"> </v>
      </c>
      <c r="M244" s="106" t="str">
        <f t="shared" si="27"/>
        <v xml:space="preserve"> </v>
      </c>
      <c r="N244" s="51" t="str">
        <f t="shared" si="28"/>
        <v xml:space="preserve"> </v>
      </c>
      <c r="O244" s="51"/>
      <c r="P244" s="51" t="str">
        <f t="shared" si="29"/>
        <v xml:space="preserve"> </v>
      </c>
    </row>
    <row r="245" spans="8:16" ht="15" x14ac:dyDescent="0.25">
      <c r="H245" s="50" t="str">
        <f t="shared" si="30"/>
        <v xml:space="preserve"> </v>
      </c>
      <c r="I245" s="51" t="str">
        <f t="shared" si="25"/>
        <v xml:space="preserve"> </v>
      </c>
      <c r="J245" s="51" t="str">
        <f t="shared" si="24"/>
        <v xml:space="preserve"> </v>
      </c>
      <c r="K245" s="51" t="str">
        <f t="shared" si="26"/>
        <v/>
      </c>
      <c r="L245" s="106" t="str">
        <f t="shared" si="31"/>
        <v xml:space="preserve"> </v>
      </c>
      <c r="M245" s="106" t="str">
        <f t="shared" si="27"/>
        <v xml:space="preserve"> </v>
      </c>
      <c r="N245" s="51" t="str">
        <f t="shared" si="28"/>
        <v xml:space="preserve"> </v>
      </c>
      <c r="O245" s="51"/>
      <c r="P245" s="51" t="str">
        <f t="shared" si="29"/>
        <v xml:space="preserve"> </v>
      </c>
    </row>
    <row r="246" spans="8:16" ht="15" x14ac:dyDescent="0.25">
      <c r="H246" s="50" t="str">
        <f t="shared" si="30"/>
        <v xml:space="preserve"> </v>
      </c>
      <c r="I246" s="51" t="str">
        <f t="shared" si="25"/>
        <v xml:space="preserve"> </v>
      </c>
      <c r="J246" s="51" t="str">
        <f t="shared" si="24"/>
        <v xml:space="preserve"> </v>
      </c>
      <c r="K246" s="51" t="str">
        <f t="shared" si="26"/>
        <v/>
      </c>
      <c r="L246" s="106" t="str">
        <f t="shared" si="31"/>
        <v xml:space="preserve"> </v>
      </c>
      <c r="M246" s="106" t="str">
        <f t="shared" si="27"/>
        <v xml:space="preserve"> </v>
      </c>
      <c r="N246" s="51" t="str">
        <f t="shared" si="28"/>
        <v xml:space="preserve"> </v>
      </c>
      <c r="O246" s="51"/>
      <c r="P246" s="51" t="str">
        <f t="shared" si="29"/>
        <v xml:space="preserve"> </v>
      </c>
    </row>
    <row r="247" spans="8:16" ht="15" x14ac:dyDescent="0.25">
      <c r="H247" s="50" t="str">
        <f t="shared" si="30"/>
        <v xml:space="preserve"> </v>
      </c>
      <c r="I247" s="51" t="str">
        <f t="shared" si="25"/>
        <v xml:space="preserve"> </v>
      </c>
      <c r="J247" s="51" t="str">
        <f t="shared" si="24"/>
        <v xml:space="preserve"> </v>
      </c>
      <c r="K247" s="51" t="str">
        <f t="shared" si="26"/>
        <v/>
      </c>
      <c r="L247" s="106" t="str">
        <f t="shared" si="31"/>
        <v xml:space="preserve"> </v>
      </c>
      <c r="M247" s="106" t="str">
        <f t="shared" si="27"/>
        <v xml:space="preserve"> </v>
      </c>
      <c r="N247" s="51" t="str">
        <f t="shared" si="28"/>
        <v xml:space="preserve"> </v>
      </c>
      <c r="O247" s="51"/>
      <c r="P247" s="51" t="str">
        <f t="shared" si="29"/>
        <v xml:space="preserve"> </v>
      </c>
    </row>
    <row r="248" spans="8:16" ht="15" x14ac:dyDescent="0.25">
      <c r="H248" s="50" t="str">
        <f t="shared" si="30"/>
        <v xml:space="preserve"> </v>
      </c>
      <c r="I248" s="51" t="str">
        <f t="shared" si="25"/>
        <v xml:space="preserve"> </v>
      </c>
      <c r="J248" s="51" t="str">
        <f t="shared" si="24"/>
        <v xml:space="preserve"> </v>
      </c>
      <c r="K248" s="51" t="str">
        <f t="shared" si="26"/>
        <v/>
      </c>
      <c r="L248" s="106" t="str">
        <f t="shared" si="31"/>
        <v xml:space="preserve"> </v>
      </c>
      <c r="M248" s="106" t="str">
        <f t="shared" si="27"/>
        <v xml:space="preserve"> </v>
      </c>
      <c r="N248" s="51" t="str">
        <f t="shared" si="28"/>
        <v xml:space="preserve"> </v>
      </c>
      <c r="O248" s="51"/>
      <c r="P248" s="51" t="str">
        <f t="shared" si="29"/>
        <v xml:space="preserve"> </v>
      </c>
    </row>
    <row r="249" spans="8:16" ht="15" x14ac:dyDescent="0.25">
      <c r="H249" s="50" t="str">
        <f t="shared" si="30"/>
        <v xml:space="preserve"> </v>
      </c>
      <c r="I249" s="51" t="str">
        <f t="shared" si="25"/>
        <v xml:space="preserve"> </v>
      </c>
      <c r="J249" s="51" t="str">
        <f t="shared" si="24"/>
        <v xml:space="preserve"> </v>
      </c>
      <c r="K249" s="51" t="str">
        <f t="shared" si="26"/>
        <v/>
      </c>
      <c r="L249" s="106" t="str">
        <f t="shared" si="31"/>
        <v xml:space="preserve"> </v>
      </c>
      <c r="M249" s="106" t="str">
        <f t="shared" si="27"/>
        <v xml:space="preserve"> </v>
      </c>
      <c r="N249" s="51" t="str">
        <f t="shared" si="28"/>
        <v xml:space="preserve"> </v>
      </c>
      <c r="O249" s="51"/>
      <c r="P249" s="51" t="str">
        <f t="shared" si="29"/>
        <v xml:space="preserve"> </v>
      </c>
    </row>
    <row r="250" spans="8:16" ht="15" x14ac:dyDescent="0.25">
      <c r="H250" s="50" t="str">
        <f t="shared" si="30"/>
        <v xml:space="preserve"> </v>
      </c>
      <c r="I250" s="51" t="str">
        <f t="shared" si="25"/>
        <v xml:space="preserve"> </v>
      </c>
      <c r="J250" s="51" t="str">
        <f t="shared" si="24"/>
        <v xml:space="preserve"> </v>
      </c>
      <c r="K250" s="51" t="str">
        <f t="shared" si="26"/>
        <v/>
      </c>
      <c r="L250" s="106" t="str">
        <f t="shared" si="31"/>
        <v xml:space="preserve"> </v>
      </c>
      <c r="M250" s="106" t="str">
        <f t="shared" si="27"/>
        <v xml:space="preserve"> </v>
      </c>
      <c r="N250" s="51" t="str">
        <f t="shared" si="28"/>
        <v xml:space="preserve"> </v>
      </c>
      <c r="O250" s="51"/>
      <c r="P250" s="51" t="str">
        <f t="shared" si="29"/>
        <v xml:space="preserve"> </v>
      </c>
    </row>
    <row r="251" spans="8:16" ht="15" x14ac:dyDescent="0.25">
      <c r="H251" s="50" t="str">
        <f t="shared" si="30"/>
        <v xml:space="preserve"> </v>
      </c>
      <c r="I251" s="51" t="str">
        <f t="shared" si="25"/>
        <v xml:space="preserve"> </v>
      </c>
      <c r="J251" s="51" t="str">
        <f t="shared" si="24"/>
        <v xml:space="preserve"> </v>
      </c>
      <c r="K251" s="51" t="str">
        <f t="shared" si="26"/>
        <v/>
      </c>
      <c r="L251" s="106" t="str">
        <f t="shared" si="31"/>
        <v xml:space="preserve"> </v>
      </c>
      <c r="M251" s="106" t="str">
        <f t="shared" si="27"/>
        <v xml:space="preserve"> </v>
      </c>
      <c r="N251" s="51" t="str">
        <f t="shared" si="28"/>
        <v xml:space="preserve"> </v>
      </c>
      <c r="O251" s="51"/>
      <c r="P251" s="51" t="str">
        <f t="shared" si="29"/>
        <v xml:space="preserve"> </v>
      </c>
    </row>
    <row r="252" spans="8:16" ht="15" x14ac:dyDescent="0.25">
      <c r="H252" s="50" t="str">
        <f t="shared" si="30"/>
        <v xml:space="preserve"> </v>
      </c>
      <c r="I252" s="51" t="str">
        <f t="shared" si="25"/>
        <v xml:space="preserve"> </v>
      </c>
      <c r="J252" s="51" t="str">
        <f t="shared" si="24"/>
        <v xml:space="preserve"> </v>
      </c>
      <c r="K252" s="51" t="str">
        <f t="shared" si="26"/>
        <v/>
      </c>
      <c r="L252" s="106" t="str">
        <f t="shared" si="31"/>
        <v xml:space="preserve"> </v>
      </c>
      <c r="M252" s="106" t="str">
        <f t="shared" si="27"/>
        <v xml:space="preserve"> </v>
      </c>
      <c r="N252" s="51" t="str">
        <f t="shared" si="28"/>
        <v xml:space="preserve"> </v>
      </c>
      <c r="O252" s="51"/>
      <c r="P252" s="51" t="str">
        <f t="shared" si="29"/>
        <v xml:space="preserve"> </v>
      </c>
    </row>
    <row r="253" spans="8:16" ht="15" x14ac:dyDescent="0.25">
      <c r="H253" s="50" t="str">
        <f t="shared" si="30"/>
        <v xml:space="preserve"> </v>
      </c>
      <c r="I253" s="51" t="str">
        <f t="shared" si="25"/>
        <v xml:space="preserve"> </v>
      </c>
      <c r="J253" s="51" t="str">
        <f t="shared" si="24"/>
        <v xml:space="preserve"> </v>
      </c>
      <c r="K253" s="51" t="str">
        <f t="shared" si="26"/>
        <v/>
      </c>
      <c r="L253" s="106" t="str">
        <f t="shared" si="31"/>
        <v xml:space="preserve"> </v>
      </c>
      <c r="M253" s="106" t="str">
        <f t="shared" si="27"/>
        <v xml:space="preserve"> </v>
      </c>
      <c r="N253" s="51" t="str">
        <f t="shared" si="28"/>
        <v xml:space="preserve"> </v>
      </c>
      <c r="O253" s="51"/>
      <c r="P253" s="51" t="str">
        <f t="shared" si="29"/>
        <v xml:space="preserve"> </v>
      </c>
    </row>
    <row r="254" spans="8:16" ht="15" x14ac:dyDescent="0.25">
      <c r="H254" s="50" t="str">
        <f t="shared" si="30"/>
        <v xml:space="preserve"> </v>
      </c>
      <c r="I254" s="51" t="str">
        <f t="shared" si="25"/>
        <v xml:space="preserve"> </v>
      </c>
      <c r="J254" s="51" t="str">
        <f t="shared" si="24"/>
        <v xml:space="preserve"> </v>
      </c>
      <c r="K254" s="51" t="str">
        <f t="shared" si="26"/>
        <v/>
      </c>
      <c r="L254" s="106" t="str">
        <f t="shared" si="31"/>
        <v xml:space="preserve"> </v>
      </c>
      <c r="M254" s="106" t="str">
        <f t="shared" si="27"/>
        <v xml:space="preserve"> </v>
      </c>
      <c r="N254" s="51" t="str">
        <f t="shared" si="28"/>
        <v xml:space="preserve"> </v>
      </c>
      <c r="O254" s="51"/>
      <c r="P254" s="51" t="str">
        <f t="shared" si="29"/>
        <v xml:space="preserve"> </v>
      </c>
    </row>
    <row r="255" spans="8:16" ht="15" x14ac:dyDescent="0.25">
      <c r="H255" s="50" t="str">
        <f t="shared" si="30"/>
        <v xml:space="preserve"> </v>
      </c>
      <c r="I255" s="51" t="str">
        <f t="shared" si="25"/>
        <v xml:space="preserve"> </v>
      </c>
      <c r="J255" s="51" t="str">
        <f t="shared" si="24"/>
        <v xml:space="preserve"> </v>
      </c>
      <c r="K255" s="51" t="str">
        <f t="shared" si="26"/>
        <v/>
      </c>
      <c r="L255" s="106" t="str">
        <f t="shared" si="31"/>
        <v xml:space="preserve"> </v>
      </c>
      <c r="M255" s="106" t="str">
        <f t="shared" si="27"/>
        <v xml:space="preserve"> </v>
      </c>
      <c r="N255" s="51" t="str">
        <f t="shared" si="28"/>
        <v xml:space="preserve"> </v>
      </c>
      <c r="O255" s="51"/>
      <c r="P255" s="51" t="str">
        <f t="shared" si="29"/>
        <v xml:space="preserve"> </v>
      </c>
    </row>
    <row r="256" spans="8:16" ht="15" x14ac:dyDescent="0.25">
      <c r="H256" s="50" t="str">
        <f t="shared" si="30"/>
        <v xml:space="preserve"> </v>
      </c>
      <c r="I256" s="51" t="str">
        <f t="shared" si="25"/>
        <v xml:space="preserve"> </v>
      </c>
      <c r="J256" s="51" t="str">
        <f t="shared" si="24"/>
        <v xml:space="preserve"> </v>
      </c>
      <c r="K256" s="51" t="str">
        <f t="shared" si="26"/>
        <v/>
      </c>
      <c r="L256" s="106" t="str">
        <f t="shared" si="31"/>
        <v xml:space="preserve"> </v>
      </c>
      <c r="M256" s="106" t="str">
        <f t="shared" si="27"/>
        <v xml:space="preserve"> </v>
      </c>
      <c r="N256" s="51" t="str">
        <f t="shared" si="28"/>
        <v xml:space="preserve"> </v>
      </c>
      <c r="O256" s="51"/>
      <c r="P256" s="51" t="str">
        <f t="shared" si="29"/>
        <v xml:space="preserve"> </v>
      </c>
    </row>
    <row r="257" spans="8:16" ht="15" x14ac:dyDescent="0.25">
      <c r="H257" s="50" t="str">
        <f t="shared" si="30"/>
        <v xml:space="preserve"> </v>
      </c>
      <c r="I257" s="51" t="str">
        <f t="shared" si="25"/>
        <v xml:space="preserve"> </v>
      </c>
      <c r="J257" s="51" t="str">
        <f t="shared" si="24"/>
        <v xml:space="preserve"> </v>
      </c>
      <c r="K257" s="51" t="str">
        <f t="shared" si="26"/>
        <v/>
      </c>
      <c r="L257" s="106" t="str">
        <f t="shared" si="31"/>
        <v xml:space="preserve"> </v>
      </c>
      <c r="M257" s="106" t="str">
        <f t="shared" si="27"/>
        <v xml:space="preserve"> </v>
      </c>
      <c r="N257" s="51" t="str">
        <f t="shared" si="28"/>
        <v xml:space="preserve"> </v>
      </c>
      <c r="O257" s="51"/>
      <c r="P257" s="51" t="str">
        <f t="shared" si="29"/>
        <v xml:space="preserve"> </v>
      </c>
    </row>
    <row r="258" spans="8:16" ht="15" x14ac:dyDescent="0.25">
      <c r="H258" s="50" t="str">
        <f t="shared" si="30"/>
        <v xml:space="preserve"> </v>
      </c>
      <c r="I258" s="51" t="str">
        <f t="shared" si="25"/>
        <v xml:space="preserve"> </v>
      </c>
      <c r="J258" s="51" t="str">
        <f t="shared" si="24"/>
        <v xml:space="preserve"> </v>
      </c>
      <c r="K258" s="51" t="str">
        <f t="shared" si="26"/>
        <v/>
      </c>
      <c r="L258" s="106" t="str">
        <f t="shared" si="31"/>
        <v xml:space="preserve"> </v>
      </c>
      <c r="M258" s="106" t="str">
        <f t="shared" si="27"/>
        <v xml:space="preserve"> </v>
      </c>
      <c r="N258" s="51" t="str">
        <f t="shared" si="28"/>
        <v xml:space="preserve"> </v>
      </c>
      <c r="O258" s="51"/>
      <c r="P258" s="51" t="str">
        <f t="shared" si="29"/>
        <v xml:space="preserve"> </v>
      </c>
    </row>
    <row r="259" spans="8:16" ht="15" x14ac:dyDescent="0.25">
      <c r="H259" s="50" t="str">
        <f t="shared" si="30"/>
        <v xml:space="preserve"> </v>
      </c>
      <c r="I259" s="51" t="str">
        <f t="shared" si="25"/>
        <v xml:space="preserve"> </v>
      </c>
      <c r="J259" s="51" t="str">
        <f t="shared" si="24"/>
        <v xml:space="preserve"> </v>
      </c>
      <c r="K259" s="51" t="str">
        <f t="shared" si="26"/>
        <v/>
      </c>
      <c r="L259" s="106" t="str">
        <f t="shared" si="31"/>
        <v xml:space="preserve"> </v>
      </c>
      <c r="M259" s="106" t="str">
        <f t="shared" si="27"/>
        <v xml:space="preserve"> </v>
      </c>
      <c r="N259" s="51" t="str">
        <f t="shared" si="28"/>
        <v xml:space="preserve"> </v>
      </c>
      <c r="O259" s="51"/>
      <c r="P259" s="51" t="str">
        <f t="shared" si="29"/>
        <v xml:space="preserve"> </v>
      </c>
    </row>
    <row r="260" spans="8:16" ht="15" x14ac:dyDescent="0.25">
      <c r="H260" s="50" t="str">
        <f t="shared" si="30"/>
        <v xml:space="preserve"> </v>
      </c>
      <c r="I260" s="51" t="str">
        <f t="shared" si="25"/>
        <v xml:space="preserve"> </v>
      </c>
      <c r="J260" s="51" t="str">
        <f t="shared" si="24"/>
        <v xml:space="preserve"> </v>
      </c>
      <c r="K260" s="51" t="str">
        <f t="shared" si="26"/>
        <v/>
      </c>
      <c r="L260" s="106" t="str">
        <f t="shared" si="31"/>
        <v xml:space="preserve"> </v>
      </c>
      <c r="M260" s="106" t="str">
        <f t="shared" si="27"/>
        <v xml:space="preserve"> </v>
      </c>
      <c r="N260" s="51" t="str">
        <f t="shared" si="28"/>
        <v xml:space="preserve"> </v>
      </c>
      <c r="O260" s="51"/>
      <c r="P260" s="51" t="str">
        <f t="shared" si="29"/>
        <v xml:space="preserve"> </v>
      </c>
    </row>
    <row r="261" spans="8:16" ht="15" x14ac:dyDescent="0.25">
      <c r="H261" s="50" t="str">
        <f t="shared" si="30"/>
        <v xml:space="preserve"> </v>
      </c>
      <c r="I261" s="51" t="str">
        <f t="shared" si="25"/>
        <v xml:space="preserve"> </v>
      </c>
      <c r="J261" s="51" t="str">
        <f t="shared" si="24"/>
        <v xml:space="preserve"> </v>
      </c>
      <c r="K261" s="51" t="str">
        <f t="shared" si="26"/>
        <v/>
      </c>
      <c r="L261" s="106" t="str">
        <f t="shared" si="31"/>
        <v xml:space="preserve"> </v>
      </c>
      <c r="M261" s="106" t="str">
        <f t="shared" si="27"/>
        <v xml:space="preserve"> </v>
      </c>
      <c r="N261" s="51" t="str">
        <f t="shared" si="28"/>
        <v xml:space="preserve"> </v>
      </c>
      <c r="O261" s="51"/>
      <c r="P261" s="51" t="str">
        <f t="shared" si="29"/>
        <v xml:space="preserve"> </v>
      </c>
    </row>
    <row r="262" spans="8:16" ht="15" x14ac:dyDescent="0.25">
      <c r="H262" s="50" t="str">
        <f t="shared" si="30"/>
        <v xml:space="preserve"> </v>
      </c>
      <c r="I262" s="51" t="str">
        <f t="shared" si="25"/>
        <v xml:space="preserve"> </v>
      </c>
      <c r="J262" s="51" t="str">
        <f t="shared" si="24"/>
        <v xml:space="preserve"> </v>
      </c>
      <c r="K262" s="51" t="str">
        <f t="shared" si="26"/>
        <v/>
      </c>
      <c r="L262" s="106" t="str">
        <f t="shared" si="31"/>
        <v xml:space="preserve"> </v>
      </c>
      <c r="M262" s="106" t="str">
        <f t="shared" si="27"/>
        <v xml:space="preserve"> </v>
      </c>
      <c r="N262" s="51" t="str">
        <f t="shared" si="28"/>
        <v xml:space="preserve"> </v>
      </c>
      <c r="O262" s="51"/>
      <c r="P262" s="51" t="str">
        <f t="shared" si="29"/>
        <v xml:space="preserve"> </v>
      </c>
    </row>
    <row r="263" spans="8:16" ht="15" x14ac:dyDescent="0.25">
      <c r="H263" s="50" t="str">
        <f t="shared" si="30"/>
        <v xml:space="preserve"> </v>
      </c>
      <c r="I263" s="51" t="str">
        <f t="shared" si="25"/>
        <v xml:space="preserve"> </v>
      </c>
      <c r="J263" s="51" t="str">
        <f t="shared" si="24"/>
        <v xml:space="preserve"> </v>
      </c>
      <c r="K263" s="51" t="str">
        <f t="shared" si="26"/>
        <v/>
      </c>
      <c r="L263" s="106" t="str">
        <f t="shared" si="31"/>
        <v xml:space="preserve"> </v>
      </c>
      <c r="M263" s="106" t="str">
        <f t="shared" si="27"/>
        <v xml:space="preserve"> </v>
      </c>
      <c r="N263" s="51" t="str">
        <f t="shared" si="28"/>
        <v xml:space="preserve"> </v>
      </c>
      <c r="O263" s="51"/>
      <c r="P263" s="51" t="str">
        <f t="shared" si="29"/>
        <v xml:space="preserve"> </v>
      </c>
    </row>
    <row r="264" spans="8:16" ht="15" x14ac:dyDescent="0.25">
      <c r="H264" s="50" t="str">
        <f t="shared" si="30"/>
        <v xml:space="preserve"> </v>
      </c>
      <c r="I264" s="51" t="str">
        <f t="shared" si="25"/>
        <v xml:space="preserve"> </v>
      </c>
      <c r="J264" s="51" t="str">
        <f t="shared" si="24"/>
        <v xml:space="preserve"> </v>
      </c>
      <c r="K264" s="51" t="str">
        <f t="shared" si="26"/>
        <v/>
      </c>
      <c r="L264" s="106" t="str">
        <f t="shared" si="31"/>
        <v xml:space="preserve"> </v>
      </c>
      <c r="M264" s="106" t="str">
        <f t="shared" si="27"/>
        <v xml:space="preserve"> </v>
      </c>
      <c r="N264" s="51" t="str">
        <f t="shared" si="28"/>
        <v xml:space="preserve"> </v>
      </c>
      <c r="O264" s="51"/>
      <c r="P264" s="51" t="str">
        <f t="shared" si="29"/>
        <v xml:space="preserve"> </v>
      </c>
    </row>
    <row r="265" spans="8:16" ht="15" x14ac:dyDescent="0.25">
      <c r="H265" s="50" t="str">
        <f t="shared" si="30"/>
        <v xml:space="preserve"> </v>
      </c>
      <c r="I265" s="51" t="str">
        <f t="shared" si="25"/>
        <v xml:space="preserve"> </v>
      </c>
      <c r="J265" s="51" t="str">
        <f t="shared" si="24"/>
        <v xml:space="preserve"> </v>
      </c>
      <c r="K265" s="51" t="str">
        <f t="shared" si="26"/>
        <v/>
      </c>
      <c r="L265" s="106" t="str">
        <f t="shared" si="31"/>
        <v xml:space="preserve"> </v>
      </c>
      <c r="M265" s="106" t="str">
        <f t="shared" si="27"/>
        <v xml:space="preserve"> </v>
      </c>
      <c r="N265" s="51" t="str">
        <f t="shared" si="28"/>
        <v xml:space="preserve"> </v>
      </c>
      <c r="O265" s="51"/>
      <c r="P265" s="51" t="str">
        <f t="shared" si="29"/>
        <v xml:space="preserve"> </v>
      </c>
    </row>
    <row r="266" spans="8:16" ht="15" x14ac:dyDescent="0.25">
      <c r="H266" s="50" t="str">
        <f t="shared" si="30"/>
        <v xml:space="preserve"> </v>
      </c>
      <c r="I266" s="51" t="str">
        <f t="shared" si="25"/>
        <v xml:space="preserve"> </v>
      </c>
      <c r="J266" s="51" t="str">
        <f t="shared" si="24"/>
        <v xml:space="preserve"> </v>
      </c>
      <c r="K266" s="51" t="str">
        <f t="shared" si="26"/>
        <v/>
      </c>
      <c r="L266" s="106" t="str">
        <f t="shared" si="31"/>
        <v xml:space="preserve"> </v>
      </c>
      <c r="M266" s="106" t="str">
        <f t="shared" si="27"/>
        <v xml:space="preserve"> </v>
      </c>
      <c r="N266" s="51" t="str">
        <f t="shared" si="28"/>
        <v xml:space="preserve"> </v>
      </c>
      <c r="O266" s="51"/>
      <c r="P266" s="51" t="str">
        <f t="shared" si="29"/>
        <v xml:space="preserve"> </v>
      </c>
    </row>
    <row r="267" spans="8:16" ht="15" x14ac:dyDescent="0.25">
      <c r="H267" s="50" t="str">
        <f t="shared" si="30"/>
        <v xml:space="preserve"> </v>
      </c>
      <c r="I267" s="51" t="str">
        <f t="shared" si="25"/>
        <v xml:space="preserve"> </v>
      </c>
      <c r="J267" s="51" t="str">
        <f t="shared" si="24"/>
        <v xml:space="preserve"> </v>
      </c>
      <c r="K267" s="51" t="str">
        <f t="shared" si="26"/>
        <v/>
      </c>
      <c r="L267" s="106" t="str">
        <f t="shared" si="31"/>
        <v xml:space="preserve"> </v>
      </c>
      <c r="M267" s="106" t="str">
        <f t="shared" si="27"/>
        <v xml:space="preserve"> </v>
      </c>
      <c r="N267" s="51" t="str">
        <f t="shared" si="28"/>
        <v xml:space="preserve"> </v>
      </c>
      <c r="O267" s="51"/>
      <c r="P267" s="51" t="str">
        <f t="shared" si="29"/>
        <v xml:space="preserve"> </v>
      </c>
    </row>
    <row r="268" spans="8:16" ht="15" x14ac:dyDescent="0.25">
      <c r="H268" s="50" t="str">
        <f t="shared" si="30"/>
        <v xml:space="preserve"> </v>
      </c>
      <c r="I268" s="51" t="str">
        <f t="shared" si="25"/>
        <v xml:space="preserve"> </v>
      </c>
      <c r="J268" s="51" t="str">
        <f t="shared" si="24"/>
        <v xml:space="preserve"> </v>
      </c>
      <c r="K268" s="51" t="str">
        <f t="shared" si="26"/>
        <v/>
      </c>
      <c r="L268" s="106" t="str">
        <f t="shared" si="31"/>
        <v xml:space="preserve"> </v>
      </c>
      <c r="M268" s="106" t="str">
        <f t="shared" si="27"/>
        <v xml:space="preserve"> </v>
      </c>
      <c r="N268" s="51" t="str">
        <f t="shared" si="28"/>
        <v xml:space="preserve"> </v>
      </c>
      <c r="O268" s="51"/>
      <c r="P268" s="51" t="str">
        <f t="shared" si="29"/>
        <v xml:space="preserve"> </v>
      </c>
    </row>
    <row r="269" spans="8:16" ht="15" x14ac:dyDescent="0.25">
      <c r="H269" s="50" t="str">
        <f t="shared" si="30"/>
        <v xml:space="preserve"> </v>
      </c>
      <c r="I269" s="51" t="str">
        <f t="shared" si="25"/>
        <v xml:space="preserve"> </v>
      </c>
      <c r="J269" s="51" t="str">
        <f t="shared" si="24"/>
        <v xml:space="preserve"> </v>
      </c>
      <c r="K269" s="51" t="str">
        <f t="shared" si="26"/>
        <v/>
      </c>
      <c r="L269" s="106" t="str">
        <f t="shared" si="31"/>
        <v xml:space="preserve"> </v>
      </c>
      <c r="M269" s="106" t="str">
        <f t="shared" si="27"/>
        <v xml:space="preserve"> </v>
      </c>
      <c r="N269" s="51" t="str">
        <f t="shared" si="28"/>
        <v xml:space="preserve"> </v>
      </c>
      <c r="O269" s="51"/>
      <c r="P269" s="51" t="str">
        <f t="shared" si="29"/>
        <v xml:space="preserve"> </v>
      </c>
    </row>
    <row r="270" spans="8:16" ht="15" x14ac:dyDescent="0.25">
      <c r="H270" s="50" t="str">
        <f t="shared" si="30"/>
        <v xml:space="preserve"> </v>
      </c>
      <c r="I270" s="51" t="str">
        <f t="shared" si="25"/>
        <v xml:space="preserve"> </v>
      </c>
      <c r="J270" s="51" t="str">
        <f t="shared" si="24"/>
        <v xml:space="preserve"> </v>
      </c>
      <c r="K270" s="51" t="str">
        <f t="shared" si="26"/>
        <v/>
      </c>
      <c r="L270" s="106" t="str">
        <f t="shared" si="31"/>
        <v xml:space="preserve"> </v>
      </c>
      <c r="M270" s="106" t="str">
        <f t="shared" si="27"/>
        <v xml:space="preserve"> </v>
      </c>
      <c r="N270" s="51" t="str">
        <f t="shared" si="28"/>
        <v xml:space="preserve"> </v>
      </c>
      <c r="O270" s="51"/>
      <c r="P270" s="51" t="str">
        <f t="shared" si="29"/>
        <v xml:space="preserve"> </v>
      </c>
    </row>
    <row r="271" spans="8:16" ht="15" x14ac:dyDescent="0.25">
      <c r="H271" s="50" t="str">
        <f t="shared" si="30"/>
        <v xml:space="preserve"> </v>
      </c>
      <c r="I271" s="51" t="str">
        <f t="shared" si="25"/>
        <v xml:space="preserve"> </v>
      </c>
      <c r="J271" s="51" t="str">
        <f t="shared" si="24"/>
        <v xml:space="preserve"> </v>
      </c>
      <c r="K271" s="51" t="str">
        <f t="shared" si="26"/>
        <v/>
      </c>
      <c r="L271" s="106" t="str">
        <f t="shared" si="31"/>
        <v xml:space="preserve"> </v>
      </c>
      <c r="M271" s="106" t="str">
        <f t="shared" si="27"/>
        <v xml:space="preserve"> </v>
      </c>
      <c r="N271" s="51" t="str">
        <f t="shared" si="28"/>
        <v xml:space="preserve"> </v>
      </c>
      <c r="O271" s="51"/>
      <c r="P271" s="51" t="str">
        <f t="shared" si="29"/>
        <v xml:space="preserve"> </v>
      </c>
    </row>
    <row r="272" spans="8:16" ht="15" x14ac:dyDescent="0.25">
      <c r="H272" s="50" t="str">
        <f t="shared" si="30"/>
        <v xml:space="preserve"> </v>
      </c>
      <c r="I272" s="51" t="str">
        <f t="shared" si="25"/>
        <v xml:space="preserve"> </v>
      </c>
      <c r="J272" s="51" t="str">
        <f t="shared" si="24"/>
        <v xml:space="preserve"> </v>
      </c>
      <c r="K272" s="51" t="str">
        <f t="shared" si="26"/>
        <v/>
      </c>
      <c r="L272" s="106" t="str">
        <f t="shared" si="31"/>
        <v xml:space="preserve"> </v>
      </c>
      <c r="M272" s="106" t="str">
        <f t="shared" si="27"/>
        <v xml:space="preserve"> </v>
      </c>
      <c r="N272" s="51" t="str">
        <f t="shared" si="28"/>
        <v xml:space="preserve"> </v>
      </c>
      <c r="O272" s="51"/>
      <c r="P272" s="51" t="str">
        <f t="shared" si="29"/>
        <v xml:space="preserve"> </v>
      </c>
    </row>
    <row r="273" spans="8:16" ht="15" x14ac:dyDescent="0.25">
      <c r="H273" s="50" t="str">
        <f t="shared" si="30"/>
        <v xml:space="preserve"> </v>
      </c>
      <c r="I273" s="51" t="str">
        <f t="shared" si="25"/>
        <v xml:space="preserve"> </v>
      </c>
      <c r="J273" s="51" t="str">
        <f t="shared" si="24"/>
        <v xml:space="preserve"> </v>
      </c>
      <c r="K273" s="51" t="str">
        <f t="shared" si="26"/>
        <v/>
      </c>
      <c r="L273" s="106" t="str">
        <f t="shared" si="31"/>
        <v xml:space="preserve"> </v>
      </c>
      <c r="M273" s="106" t="str">
        <f t="shared" si="27"/>
        <v xml:space="preserve"> </v>
      </c>
      <c r="N273" s="51" t="str">
        <f t="shared" si="28"/>
        <v xml:space="preserve"> </v>
      </c>
      <c r="O273" s="51"/>
      <c r="P273" s="51" t="str">
        <f t="shared" si="29"/>
        <v xml:space="preserve"> </v>
      </c>
    </row>
    <row r="274" spans="8:16" ht="15" x14ac:dyDescent="0.25">
      <c r="H274" s="50" t="str">
        <f t="shared" si="30"/>
        <v xml:space="preserve"> </v>
      </c>
      <c r="I274" s="51" t="str">
        <f t="shared" si="25"/>
        <v xml:space="preserve"> </v>
      </c>
      <c r="J274" s="51" t="str">
        <f t="shared" ref="J274:J317" si="32">IFERROR(IF(I274&lt;&gt;0,(I273-I274+(I273*$D$35*30/360))," ")," ")</f>
        <v xml:space="preserve"> </v>
      </c>
      <c r="K274" s="51" t="str">
        <f t="shared" si="26"/>
        <v/>
      </c>
      <c r="L274" s="106" t="str">
        <f t="shared" si="31"/>
        <v xml:space="preserve"> </v>
      </c>
      <c r="M274" s="106" t="str">
        <f t="shared" si="27"/>
        <v xml:space="preserve"> </v>
      </c>
      <c r="N274" s="51" t="str">
        <f t="shared" si="28"/>
        <v xml:space="preserve"> </v>
      </c>
      <c r="O274" s="51"/>
      <c r="P274" s="51" t="str">
        <f t="shared" si="29"/>
        <v xml:space="preserve"> </v>
      </c>
    </row>
    <row r="275" spans="8:16" ht="15" x14ac:dyDescent="0.25">
      <c r="H275" s="50" t="str">
        <f t="shared" si="30"/>
        <v xml:space="preserve"> </v>
      </c>
      <c r="I275" s="51" t="str">
        <f t="shared" ref="I275:I317" si="33">IF(H275&lt;=$U$17,N275*$D$37," ")</f>
        <v xml:space="preserve"> </v>
      </c>
      <c r="J275" s="51" t="str">
        <f t="shared" si="32"/>
        <v xml:space="preserve"> </v>
      </c>
      <c r="K275" s="51" t="str">
        <f t="shared" ref="K275:K317" si="34">IF(H274&lt;=$U$17,IF(credito="Francesa",IF(H275&lt;=$U$17,$K274,0),IF(credito="Alemana",IF(H275&lt;=$U$17,L275+M275,0))),"")</f>
        <v/>
      </c>
      <c r="L275" s="106" t="str">
        <f t="shared" si="31"/>
        <v xml:space="preserve"> </v>
      </c>
      <c r="M275" s="106" t="str">
        <f t="shared" ref="M275:M317" si="35">IF(H275&lt;=$U$17,IF(credito="Francesa",K275-L275,IF(credito="Alemana",IF(H275&lt;=$U$17,$M274,0)))," ")</f>
        <v xml:space="preserve"> </v>
      </c>
      <c r="N275" s="51" t="str">
        <f t="shared" ref="N275:N317" si="36">IF(H275&lt;=$U$17,N274-M275," ")</f>
        <v xml:space="preserve"> </v>
      </c>
      <c r="O275" s="51"/>
      <c r="P275" s="51" t="str">
        <f t="shared" ref="P275:P317" si="37">IFERROR(SUM(IF(H275&lt;=$U$17,-K275," "),J275)," ")</f>
        <v xml:space="preserve"> </v>
      </c>
    </row>
    <row r="276" spans="8:16" ht="15" x14ac:dyDescent="0.25">
      <c r="H276" s="50" t="str">
        <f t="shared" ref="H276:H317" si="38">IF($H275&gt;=$U$17," ",H275+1)</f>
        <v xml:space="preserve"> </v>
      </c>
      <c r="I276" s="51" t="str">
        <f t="shared" si="33"/>
        <v xml:space="preserve"> </v>
      </c>
      <c r="J276" s="51" t="str">
        <f t="shared" si="32"/>
        <v xml:space="preserve"> </v>
      </c>
      <c r="K276" s="51" t="str">
        <f t="shared" si="34"/>
        <v/>
      </c>
      <c r="L276" s="106" t="str">
        <f t="shared" ref="L276:L317" si="39">IF(H276&lt;=$U$17,N275*$D$28/$D$24," ")</f>
        <v xml:space="preserve"> </v>
      </c>
      <c r="M276" s="106" t="str">
        <f t="shared" si="35"/>
        <v xml:space="preserve"> </v>
      </c>
      <c r="N276" s="51" t="str">
        <f t="shared" si="36"/>
        <v xml:space="preserve"> </v>
      </c>
      <c r="O276" s="51"/>
      <c r="P276" s="51" t="str">
        <f t="shared" si="37"/>
        <v xml:space="preserve"> </v>
      </c>
    </row>
    <row r="277" spans="8:16" ht="15" x14ac:dyDescent="0.25">
      <c r="H277" s="50" t="str">
        <f t="shared" si="38"/>
        <v xml:space="preserve"> </v>
      </c>
      <c r="I277" s="51" t="str">
        <f t="shared" si="33"/>
        <v xml:space="preserve"> </v>
      </c>
      <c r="J277" s="51" t="str">
        <f t="shared" si="32"/>
        <v xml:space="preserve"> </v>
      </c>
      <c r="K277" s="51" t="str">
        <f t="shared" si="34"/>
        <v/>
      </c>
      <c r="L277" s="106" t="str">
        <f t="shared" si="39"/>
        <v xml:space="preserve"> </v>
      </c>
      <c r="M277" s="106" t="str">
        <f t="shared" si="35"/>
        <v xml:space="preserve"> </v>
      </c>
      <c r="N277" s="51" t="str">
        <f t="shared" si="36"/>
        <v xml:space="preserve"> </v>
      </c>
      <c r="O277" s="51"/>
      <c r="P277" s="51" t="str">
        <f t="shared" si="37"/>
        <v xml:space="preserve"> </v>
      </c>
    </row>
    <row r="278" spans="8:16" ht="15" x14ac:dyDescent="0.25">
      <c r="H278" s="50" t="str">
        <f t="shared" si="38"/>
        <v xml:space="preserve"> </v>
      </c>
      <c r="I278" s="51" t="str">
        <f t="shared" si="33"/>
        <v xml:space="preserve"> </v>
      </c>
      <c r="J278" s="51" t="str">
        <f t="shared" si="32"/>
        <v xml:space="preserve"> </v>
      </c>
      <c r="K278" s="51" t="str">
        <f t="shared" si="34"/>
        <v/>
      </c>
      <c r="L278" s="106" t="str">
        <f t="shared" si="39"/>
        <v xml:space="preserve"> </v>
      </c>
      <c r="M278" s="106" t="str">
        <f t="shared" si="35"/>
        <v xml:space="preserve"> </v>
      </c>
      <c r="N278" s="51" t="str">
        <f t="shared" si="36"/>
        <v xml:space="preserve"> </v>
      </c>
      <c r="O278" s="51"/>
      <c r="P278" s="51" t="str">
        <f t="shared" si="37"/>
        <v xml:space="preserve"> </v>
      </c>
    </row>
    <row r="279" spans="8:16" ht="15" x14ac:dyDescent="0.25">
      <c r="H279" s="50" t="str">
        <f t="shared" si="38"/>
        <v xml:space="preserve"> </v>
      </c>
      <c r="I279" s="51" t="str">
        <f t="shared" si="33"/>
        <v xml:space="preserve"> </v>
      </c>
      <c r="J279" s="51" t="str">
        <f t="shared" si="32"/>
        <v xml:space="preserve"> </v>
      </c>
      <c r="K279" s="51" t="str">
        <f t="shared" si="34"/>
        <v/>
      </c>
      <c r="L279" s="106" t="str">
        <f t="shared" si="39"/>
        <v xml:space="preserve"> </v>
      </c>
      <c r="M279" s="106" t="str">
        <f t="shared" si="35"/>
        <v xml:space="preserve"> </v>
      </c>
      <c r="N279" s="51" t="str">
        <f t="shared" si="36"/>
        <v xml:space="preserve"> </v>
      </c>
      <c r="O279" s="51"/>
      <c r="P279" s="51" t="str">
        <f t="shared" si="37"/>
        <v xml:space="preserve"> </v>
      </c>
    </row>
    <row r="280" spans="8:16" ht="15" x14ac:dyDescent="0.25">
      <c r="H280" s="50" t="str">
        <f t="shared" si="38"/>
        <v xml:space="preserve"> </v>
      </c>
      <c r="I280" s="51" t="str">
        <f t="shared" si="33"/>
        <v xml:space="preserve"> </v>
      </c>
      <c r="J280" s="51" t="str">
        <f t="shared" si="32"/>
        <v xml:space="preserve"> </v>
      </c>
      <c r="K280" s="51" t="str">
        <f t="shared" si="34"/>
        <v/>
      </c>
      <c r="L280" s="106" t="str">
        <f t="shared" si="39"/>
        <v xml:space="preserve"> </v>
      </c>
      <c r="M280" s="106" t="str">
        <f t="shared" si="35"/>
        <v xml:space="preserve"> </v>
      </c>
      <c r="N280" s="51" t="str">
        <f t="shared" si="36"/>
        <v xml:space="preserve"> </v>
      </c>
      <c r="O280" s="51"/>
      <c r="P280" s="51" t="str">
        <f t="shared" si="37"/>
        <v xml:space="preserve"> </v>
      </c>
    </row>
    <row r="281" spans="8:16" ht="15" x14ac:dyDescent="0.25">
      <c r="H281" s="50" t="str">
        <f t="shared" si="38"/>
        <v xml:space="preserve"> </v>
      </c>
      <c r="I281" s="51" t="str">
        <f t="shared" si="33"/>
        <v xml:space="preserve"> </v>
      </c>
      <c r="J281" s="51" t="str">
        <f t="shared" si="32"/>
        <v xml:space="preserve"> </v>
      </c>
      <c r="K281" s="51" t="str">
        <f t="shared" si="34"/>
        <v/>
      </c>
      <c r="L281" s="106" t="str">
        <f t="shared" si="39"/>
        <v xml:space="preserve"> </v>
      </c>
      <c r="M281" s="106" t="str">
        <f t="shared" si="35"/>
        <v xml:space="preserve"> </v>
      </c>
      <c r="N281" s="51" t="str">
        <f t="shared" si="36"/>
        <v xml:space="preserve"> </v>
      </c>
      <c r="O281" s="51"/>
      <c r="P281" s="51" t="str">
        <f t="shared" si="37"/>
        <v xml:space="preserve"> </v>
      </c>
    </row>
    <row r="282" spans="8:16" ht="15" x14ac:dyDescent="0.25">
      <c r="H282" s="50" t="str">
        <f t="shared" si="38"/>
        <v xml:space="preserve"> </v>
      </c>
      <c r="I282" s="51" t="str">
        <f t="shared" si="33"/>
        <v xml:space="preserve"> </v>
      </c>
      <c r="J282" s="51" t="str">
        <f t="shared" si="32"/>
        <v xml:space="preserve"> </v>
      </c>
      <c r="K282" s="51" t="str">
        <f t="shared" si="34"/>
        <v/>
      </c>
      <c r="L282" s="106" t="str">
        <f t="shared" si="39"/>
        <v xml:space="preserve"> </v>
      </c>
      <c r="M282" s="106" t="str">
        <f t="shared" si="35"/>
        <v xml:space="preserve"> </v>
      </c>
      <c r="N282" s="51" t="str">
        <f t="shared" si="36"/>
        <v xml:space="preserve"> </v>
      </c>
      <c r="O282" s="51"/>
      <c r="P282" s="51" t="str">
        <f t="shared" si="37"/>
        <v xml:space="preserve"> </v>
      </c>
    </row>
    <row r="283" spans="8:16" ht="15" x14ac:dyDescent="0.25">
      <c r="H283" s="50" t="str">
        <f t="shared" si="38"/>
        <v xml:space="preserve"> </v>
      </c>
      <c r="I283" s="51" t="str">
        <f t="shared" si="33"/>
        <v xml:space="preserve"> </v>
      </c>
      <c r="J283" s="51" t="str">
        <f t="shared" si="32"/>
        <v xml:space="preserve"> </v>
      </c>
      <c r="K283" s="51" t="str">
        <f t="shared" si="34"/>
        <v/>
      </c>
      <c r="L283" s="106" t="str">
        <f t="shared" si="39"/>
        <v xml:space="preserve"> </v>
      </c>
      <c r="M283" s="106" t="str">
        <f t="shared" si="35"/>
        <v xml:space="preserve"> </v>
      </c>
      <c r="N283" s="51" t="str">
        <f t="shared" si="36"/>
        <v xml:space="preserve"> </v>
      </c>
      <c r="O283" s="51"/>
      <c r="P283" s="51" t="str">
        <f t="shared" si="37"/>
        <v xml:space="preserve"> </v>
      </c>
    </row>
    <row r="284" spans="8:16" ht="15" x14ac:dyDescent="0.25">
      <c r="H284" s="50" t="str">
        <f t="shared" si="38"/>
        <v xml:space="preserve"> </v>
      </c>
      <c r="I284" s="51" t="str">
        <f t="shared" si="33"/>
        <v xml:space="preserve"> </v>
      </c>
      <c r="J284" s="51" t="str">
        <f t="shared" si="32"/>
        <v xml:space="preserve"> </v>
      </c>
      <c r="K284" s="51" t="str">
        <f t="shared" si="34"/>
        <v/>
      </c>
      <c r="L284" s="106" t="str">
        <f t="shared" si="39"/>
        <v xml:space="preserve"> </v>
      </c>
      <c r="M284" s="106" t="str">
        <f t="shared" si="35"/>
        <v xml:space="preserve"> </v>
      </c>
      <c r="N284" s="51" t="str">
        <f t="shared" si="36"/>
        <v xml:space="preserve"> </v>
      </c>
      <c r="O284" s="51"/>
      <c r="P284" s="51" t="str">
        <f t="shared" si="37"/>
        <v xml:space="preserve"> </v>
      </c>
    </row>
    <row r="285" spans="8:16" ht="15" x14ac:dyDescent="0.25">
      <c r="H285" s="50" t="str">
        <f t="shared" si="38"/>
        <v xml:space="preserve"> </v>
      </c>
      <c r="I285" s="51" t="str">
        <f t="shared" si="33"/>
        <v xml:space="preserve"> </v>
      </c>
      <c r="J285" s="51" t="str">
        <f t="shared" si="32"/>
        <v xml:space="preserve"> </v>
      </c>
      <c r="K285" s="51" t="str">
        <f t="shared" si="34"/>
        <v/>
      </c>
      <c r="L285" s="106" t="str">
        <f t="shared" si="39"/>
        <v xml:space="preserve"> </v>
      </c>
      <c r="M285" s="106" t="str">
        <f t="shared" si="35"/>
        <v xml:space="preserve"> </v>
      </c>
      <c r="N285" s="51" t="str">
        <f t="shared" si="36"/>
        <v xml:space="preserve"> </v>
      </c>
      <c r="O285" s="51"/>
      <c r="P285" s="51" t="str">
        <f t="shared" si="37"/>
        <v xml:space="preserve"> </v>
      </c>
    </row>
    <row r="286" spans="8:16" ht="15" x14ac:dyDescent="0.25">
      <c r="H286" s="50" t="str">
        <f t="shared" si="38"/>
        <v xml:space="preserve"> </v>
      </c>
      <c r="I286" s="51" t="str">
        <f t="shared" si="33"/>
        <v xml:space="preserve"> </v>
      </c>
      <c r="J286" s="51" t="str">
        <f t="shared" si="32"/>
        <v xml:space="preserve"> </v>
      </c>
      <c r="K286" s="51" t="str">
        <f t="shared" si="34"/>
        <v/>
      </c>
      <c r="L286" s="106" t="str">
        <f t="shared" si="39"/>
        <v xml:space="preserve"> </v>
      </c>
      <c r="M286" s="106" t="str">
        <f t="shared" si="35"/>
        <v xml:space="preserve"> </v>
      </c>
      <c r="N286" s="51" t="str">
        <f t="shared" si="36"/>
        <v xml:space="preserve"> </v>
      </c>
      <c r="O286" s="51"/>
      <c r="P286" s="51" t="str">
        <f t="shared" si="37"/>
        <v xml:space="preserve"> </v>
      </c>
    </row>
    <row r="287" spans="8:16" ht="15" x14ac:dyDescent="0.25">
      <c r="H287" s="50" t="str">
        <f t="shared" si="38"/>
        <v xml:space="preserve"> </v>
      </c>
      <c r="I287" s="51" t="str">
        <f t="shared" si="33"/>
        <v xml:space="preserve"> </v>
      </c>
      <c r="J287" s="51" t="str">
        <f t="shared" si="32"/>
        <v xml:space="preserve"> </v>
      </c>
      <c r="K287" s="51" t="str">
        <f t="shared" si="34"/>
        <v/>
      </c>
      <c r="L287" s="106" t="str">
        <f t="shared" si="39"/>
        <v xml:space="preserve"> </v>
      </c>
      <c r="M287" s="106" t="str">
        <f t="shared" si="35"/>
        <v xml:space="preserve"> </v>
      </c>
      <c r="N287" s="51" t="str">
        <f t="shared" si="36"/>
        <v xml:space="preserve"> </v>
      </c>
      <c r="O287" s="51"/>
      <c r="P287" s="51" t="str">
        <f t="shared" si="37"/>
        <v xml:space="preserve"> </v>
      </c>
    </row>
    <row r="288" spans="8:16" ht="15" x14ac:dyDescent="0.25">
      <c r="H288" s="50" t="str">
        <f t="shared" si="38"/>
        <v xml:space="preserve"> </v>
      </c>
      <c r="I288" s="51" t="str">
        <f t="shared" si="33"/>
        <v xml:space="preserve"> </v>
      </c>
      <c r="J288" s="51" t="str">
        <f t="shared" si="32"/>
        <v xml:space="preserve"> </v>
      </c>
      <c r="K288" s="51" t="str">
        <f t="shared" si="34"/>
        <v/>
      </c>
      <c r="L288" s="106" t="str">
        <f t="shared" si="39"/>
        <v xml:space="preserve"> </v>
      </c>
      <c r="M288" s="106" t="str">
        <f t="shared" si="35"/>
        <v xml:space="preserve"> </v>
      </c>
      <c r="N288" s="51" t="str">
        <f t="shared" si="36"/>
        <v xml:space="preserve"> </v>
      </c>
      <c r="O288" s="51"/>
      <c r="P288" s="51" t="str">
        <f t="shared" si="37"/>
        <v xml:space="preserve"> </v>
      </c>
    </row>
    <row r="289" spans="8:16" ht="15" x14ac:dyDescent="0.25">
      <c r="H289" s="50" t="str">
        <f t="shared" si="38"/>
        <v xml:space="preserve"> </v>
      </c>
      <c r="I289" s="51" t="str">
        <f t="shared" si="33"/>
        <v xml:space="preserve"> </v>
      </c>
      <c r="J289" s="51" t="str">
        <f t="shared" si="32"/>
        <v xml:space="preserve"> </v>
      </c>
      <c r="K289" s="51" t="str">
        <f t="shared" si="34"/>
        <v/>
      </c>
      <c r="L289" s="106" t="str">
        <f t="shared" si="39"/>
        <v xml:space="preserve"> </v>
      </c>
      <c r="M289" s="106" t="str">
        <f t="shared" si="35"/>
        <v xml:space="preserve"> </v>
      </c>
      <c r="N289" s="51" t="str">
        <f t="shared" si="36"/>
        <v xml:space="preserve"> </v>
      </c>
      <c r="O289" s="51"/>
      <c r="P289" s="51" t="str">
        <f t="shared" si="37"/>
        <v xml:space="preserve"> </v>
      </c>
    </row>
    <row r="290" spans="8:16" ht="15" x14ac:dyDescent="0.25">
      <c r="H290" s="50" t="str">
        <f t="shared" si="38"/>
        <v xml:space="preserve"> </v>
      </c>
      <c r="I290" s="51" t="str">
        <f t="shared" si="33"/>
        <v xml:space="preserve"> </v>
      </c>
      <c r="J290" s="51" t="str">
        <f t="shared" si="32"/>
        <v xml:space="preserve"> </v>
      </c>
      <c r="K290" s="51" t="str">
        <f t="shared" si="34"/>
        <v/>
      </c>
      <c r="L290" s="106" t="str">
        <f t="shared" si="39"/>
        <v xml:space="preserve"> </v>
      </c>
      <c r="M290" s="106" t="str">
        <f t="shared" si="35"/>
        <v xml:space="preserve"> </v>
      </c>
      <c r="N290" s="51" t="str">
        <f t="shared" si="36"/>
        <v xml:space="preserve"> </v>
      </c>
      <c r="O290" s="51"/>
      <c r="P290" s="51" t="str">
        <f t="shared" si="37"/>
        <v xml:space="preserve"> </v>
      </c>
    </row>
    <row r="291" spans="8:16" ht="15" x14ac:dyDescent="0.25">
      <c r="H291" s="50" t="str">
        <f t="shared" si="38"/>
        <v xml:space="preserve"> </v>
      </c>
      <c r="I291" s="51" t="str">
        <f t="shared" si="33"/>
        <v xml:space="preserve"> </v>
      </c>
      <c r="J291" s="51" t="str">
        <f t="shared" si="32"/>
        <v xml:space="preserve"> </v>
      </c>
      <c r="K291" s="51" t="str">
        <f t="shared" si="34"/>
        <v/>
      </c>
      <c r="L291" s="106" t="str">
        <f t="shared" si="39"/>
        <v xml:space="preserve"> </v>
      </c>
      <c r="M291" s="106" t="str">
        <f t="shared" si="35"/>
        <v xml:space="preserve"> </v>
      </c>
      <c r="N291" s="51" t="str">
        <f t="shared" si="36"/>
        <v xml:space="preserve"> </v>
      </c>
      <c r="O291" s="51"/>
      <c r="P291" s="51" t="str">
        <f t="shared" si="37"/>
        <v xml:space="preserve"> </v>
      </c>
    </row>
    <row r="292" spans="8:16" ht="15" x14ac:dyDescent="0.25">
      <c r="H292" s="50" t="str">
        <f t="shared" si="38"/>
        <v xml:space="preserve"> </v>
      </c>
      <c r="I292" s="51" t="str">
        <f t="shared" si="33"/>
        <v xml:space="preserve"> </v>
      </c>
      <c r="J292" s="51" t="str">
        <f t="shared" si="32"/>
        <v xml:space="preserve"> </v>
      </c>
      <c r="K292" s="51" t="str">
        <f t="shared" si="34"/>
        <v/>
      </c>
      <c r="L292" s="106" t="str">
        <f t="shared" si="39"/>
        <v xml:space="preserve"> </v>
      </c>
      <c r="M292" s="106" t="str">
        <f t="shared" si="35"/>
        <v xml:space="preserve"> </v>
      </c>
      <c r="N292" s="51" t="str">
        <f t="shared" si="36"/>
        <v xml:space="preserve"> </v>
      </c>
      <c r="O292" s="51"/>
      <c r="P292" s="51" t="str">
        <f t="shared" si="37"/>
        <v xml:space="preserve"> </v>
      </c>
    </row>
    <row r="293" spans="8:16" ht="15" x14ac:dyDescent="0.25">
      <c r="H293" s="50" t="str">
        <f t="shared" si="38"/>
        <v xml:space="preserve"> </v>
      </c>
      <c r="I293" s="51" t="str">
        <f t="shared" si="33"/>
        <v xml:space="preserve"> </v>
      </c>
      <c r="J293" s="51" t="str">
        <f t="shared" si="32"/>
        <v xml:space="preserve"> </v>
      </c>
      <c r="K293" s="51" t="str">
        <f t="shared" si="34"/>
        <v/>
      </c>
      <c r="L293" s="106" t="str">
        <f t="shared" si="39"/>
        <v xml:space="preserve"> </v>
      </c>
      <c r="M293" s="106" t="str">
        <f t="shared" si="35"/>
        <v xml:space="preserve"> </v>
      </c>
      <c r="N293" s="51" t="str">
        <f t="shared" si="36"/>
        <v xml:space="preserve"> </v>
      </c>
      <c r="O293" s="51"/>
      <c r="P293" s="51" t="str">
        <f t="shared" si="37"/>
        <v xml:space="preserve"> </v>
      </c>
    </row>
    <row r="294" spans="8:16" ht="15" x14ac:dyDescent="0.25">
      <c r="H294" s="50" t="str">
        <f t="shared" si="38"/>
        <v xml:space="preserve"> </v>
      </c>
      <c r="I294" s="51" t="str">
        <f t="shared" si="33"/>
        <v xml:space="preserve"> </v>
      </c>
      <c r="J294" s="51" t="str">
        <f t="shared" si="32"/>
        <v xml:space="preserve"> </v>
      </c>
      <c r="K294" s="51" t="str">
        <f t="shared" si="34"/>
        <v/>
      </c>
      <c r="L294" s="106" t="str">
        <f t="shared" si="39"/>
        <v xml:space="preserve"> </v>
      </c>
      <c r="M294" s="106" t="str">
        <f t="shared" si="35"/>
        <v xml:space="preserve"> </v>
      </c>
      <c r="N294" s="51" t="str">
        <f t="shared" si="36"/>
        <v xml:space="preserve"> </v>
      </c>
      <c r="O294" s="51"/>
      <c r="P294" s="51" t="str">
        <f t="shared" si="37"/>
        <v xml:space="preserve"> </v>
      </c>
    </row>
    <row r="295" spans="8:16" ht="15" x14ac:dyDescent="0.25">
      <c r="H295" s="50" t="str">
        <f t="shared" si="38"/>
        <v xml:space="preserve"> </v>
      </c>
      <c r="I295" s="51" t="str">
        <f t="shared" si="33"/>
        <v xml:space="preserve"> </v>
      </c>
      <c r="J295" s="51" t="str">
        <f t="shared" si="32"/>
        <v xml:space="preserve"> </v>
      </c>
      <c r="K295" s="51" t="str">
        <f t="shared" si="34"/>
        <v/>
      </c>
      <c r="L295" s="106" t="str">
        <f t="shared" si="39"/>
        <v xml:space="preserve"> </v>
      </c>
      <c r="M295" s="106" t="str">
        <f t="shared" si="35"/>
        <v xml:space="preserve"> </v>
      </c>
      <c r="N295" s="51" t="str">
        <f t="shared" si="36"/>
        <v xml:space="preserve"> </v>
      </c>
      <c r="O295" s="51"/>
      <c r="P295" s="51" t="str">
        <f t="shared" si="37"/>
        <v xml:space="preserve"> </v>
      </c>
    </row>
    <row r="296" spans="8:16" ht="15" x14ac:dyDescent="0.25">
      <c r="H296" s="50" t="str">
        <f t="shared" si="38"/>
        <v xml:space="preserve"> </v>
      </c>
      <c r="I296" s="51" t="str">
        <f t="shared" si="33"/>
        <v xml:space="preserve"> </v>
      </c>
      <c r="J296" s="51" t="str">
        <f t="shared" si="32"/>
        <v xml:space="preserve"> </v>
      </c>
      <c r="K296" s="51" t="str">
        <f t="shared" si="34"/>
        <v/>
      </c>
      <c r="L296" s="106" t="str">
        <f t="shared" si="39"/>
        <v xml:space="preserve"> </v>
      </c>
      <c r="M296" s="106" t="str">
        <f t="shared" si="35"/>
        <v xml:space="preserve"> </v>
      </c>
      <c r="N296" s="51" t="str">
        <f t="shared" si="36"/>
        <v xml:space="preserve"> </v>
      </c>
      <c r="O296" s="51"/>
      <c r="P296" s="51" t="str">
        <f t="shared" si="37"/>
        <v xml:space="preserve"> </v>
      </c>
    </row>
    <row r="297" spans="8:16" ht="15" x14ac:dyDescent="0.25">
      <c r="H297" s="50" t="str">
        <f t="shared" si="38"/>
        <v xml:space="preserve"> </v>
      </c>
      <c r="I297" s="51" t="str">
        <f t="shared" si="33"/>
        <v xml:space="preserve"> </v>
      </c>
      <c r="J297" s="51" t="str">
        <f t="shared" si="32"/>
        <v xml:space="preserve"> </v>
      </c>
      <c r="K297" s="51" t="str">
        <f t="shared" si="34"/>
        <v/>
      </c>
      <c r="L297" s="106" t="str">
        <f t="shared" si="39"/>
        <v xml:space="preserve"> </v>
      </c>
      <c r="M297" s="106" t="str">
        <f t="shared" si="35"/>
        <v xml:space="preserve"> </v>
      </c>
      <c r="N297" s="51" t="str">
        <f t="shared" si="36"/>
        <v xml:space="preserve"> </v>
      </c>
      <c r="O297" s="51"/>
      <c r="P297" s="51" t="str">
        <f t="shared" si="37"/>
        <v xml:space="preserve"> </v>
      </c>
    </row>
    <row r="298" spans="8:16" ht="15" x14ac:dyDescent="0.25">
      <c r="H298" s="50" t="str">
        <f t="shared" si="38"/>
        <v xml:space="preserve"> </v>
      </c>
      <c r="I298" s="51" t="str">
        <f t="shared" si="33"/>
        <v xml:space="preserve"> </v>
      </c>
      <c r="J298" s="51" t="str">
        <f t="shared" si="32"/>
        <v xml:space="preserve"> </v>
      </c>
      <c r="K298" s="51" t="str">
        <f t="shared" si="34"/>
        <v/>
      </c>
      <c r="L298" s="106" t="str">
        <f t="shared" si="39"/>
        <v xml:space="preserve"> </v>
      </c>
      <c r="M298" s="106" t="str">
        <f t="shared" si="35"/>
        <v xml:space="preserve"> </v>
      </c>
      <c r="N298" s="51" t="str">
        <f t="shared" si="36"/>
        <v xml:space="preserve"> </v>
      </c>
      <c r="O298" s="51"/>
      <c r="P298" s="51" t="str">
        <f t="shared" si="37"/>
        <v xml:space="preserve"> </v>
      </c>
    </row>
    <row r="299" spans="8:16" ht="15" x14ac:dyDescent="0.25">
      <c r="H299" s="50" t="str">
        <f t="shared" si="38"/>
        <v xml:space="preserve"> </v>
      </c>
      <c r="I299" s="51" t="str">
        <f t="shared" si="33"/>
        <v xml:space="preserve"> </v>
      </c>
      <c r="J299" s="51" t="str">
        <f t="shared" si="32"/>
        <v xml:space="preserve"> </v>
      </c>
      <c r="K299" s="51" t="str">
        <f t="shared" si="34"/>
        <v/>
      </c>
      <c r="L299" s="106" t="str">
        <f t="shared" si="39"/>
        <v xml:space="preserve"> </v>
      </c>
      <c r="M299" s="106" t="str">
        <f t="shared" si="35"/>
        <v xml:space="preserve"> </v>
      </c>
      <c r="N299" s="51" t="str">
        <f t="shared" si="36"/>
        <v xml:space="preserve"> </v>
      </c>
      <c r="O299" s="51"/>
      <c r="P299" s="51" t="str">
        <f t="shared" si="37"/>
        <v xml:space="preserve"> </v>
      </c>
    </row>
    <row r="300" spans="8:16" ht="15" x14ac:dyDescent="0.25">
      <c r="H300" s="50" t="str">
        <f t="shared" si="38"/>
        <v xml:space="preserve"> </v>
      </c>
      <c r="I300" s="51" t="str">
        <f t="shared" si="33"/>
        <v xml:space="preserve"> </v>
      </c>
      <c r="J300" s="51" t="str">
        <f t="shared" si="32"/>
        <v xml:space="preserve"> </v>
      </c>
      <c r="K300" s="51" t="str">
        <f t="shared" si="34"/>
        <v/>
      </c>
      <c r="L300" s="106" t="str">
        <f t="shared" si="39"/>
        <v xml:space="preserve"> </v>
      </c>
      <c r="M300" s="106" t="str">
        <f t="shared" si="35"/>
        <v xml:space="preserve"> </v>
      </c>
      <c r="N300" s="51" t="str">
        <f t="shared" si="36"/>
        <v xml:space="preserve"> </v>
      </c>
      <c r="O300" s="51"/>
      <c r="P300" s="51" t="str">
        <f t="shared" si="37"/>
        <v xml:space="preserve"> </v>
      </c>
    </row>
    <row r="301" spans="8:16" ht="15" x14ac:dyDescent="0.25">
      <c r="H301" s="50" t="str">
        <f t="shared" si="38"/>
        <v xml:space="preserve"> </v>
      </c>
      <c r="I301" s="51" t="str">
        <f t="shared" si="33"/>
        <v xml:space="preserve"> </v>
      </c>
      <c r="J301" s="51" t="str">
        <f t="shared" si="32"/>
        <v xml:space="preserve"> </v>
      </c>
      <c r="K301" s="51" t="str">
        <f t="shared" si="34"/>
        <v/>
      </c>
      <c r="L301" s="106" t="str">
        <f t="shared" si="39"/>
        <v xml:space="preserve"> </v>
      </c>
      <c r="M301" s="106" t="str">
        <f t="shared" si="35"/>
        <v xml:space="preserve"> </v>
      </c>
      <c r="N301" s="51" t="str">
        <f t="shared" si="36"/>
        <v xml:space="preserve"> </v>
      </c>
      <c r="O301" s="51"/>
      <c r="P301" s="51" t="str">
        <f t="shared" si="37"/>
        <v xml:space="preserve"> </v>
      </c>
    </row>
    <row r="302" spans="8:16" ht="15" x14ac:dyDescent="0.25">
      <c r="H302" s="50" t="str">
        <f t="shared" si="38"/>
        <v xml:space="preserve"> </v>
      </c>
      <c r="I302" s="51" t="str">
        <f t="shared" si="33"/>
        <v xml:space="preserve"> </v>
      </c>
      <c r="J302" s="51" t="str">
        <f t="shared" si="32"/>
        <v xml:space="preserve"> </v>
      </c>
      <c r="K302" s="51" t="str">
        <f t="shared" si="34"/>
        <v/>
      </c>
      <c r="L302" s="106" t="str">
        <f t="shared" si="39"/>
        <v xml:space="preserve"> </v>
      </c>
      <c r="M302" s="106" t="str">
        <f t="shared" si="35"/>
        <v xml:space="preserve"> </v>
      </c>
      <c r="N302" s="51" t="str">
        <f t="shared" si="36"/>
        <v xml:space="preserve"> </v>
      </c>
      <c r="O302" s="51"/>
      <c r="P302" s="51" t="str">
        <f t="shared" si="37"/>
        <v xml:space="preserve"> </v>
      </c>
    </row>
    <row r="303" spans="8:16" ht="15" x14ac:dyDescent="0.25">
      <c r="H303" s="50" t="str">
        <f t="shared" si="38"/>
        <v xml:space="preserve"> </v>
      </c>
      <c r="I303" s="51" t="str">
        <f t="shared" si="33"/>
        <v xml:space="preserve"> </v>
      </c>
      <c r="J303" s="51" t="str">
        <f t="shared" si="32"/>
        <v xml:space="preserve"> </v>
      </c>
      <c r="K303" s="51" t="str">
        <f t="shared" si="34"/>
        <v/>
      </c>
      <c r="L303" s="106" t="str">
        <f t="shared" si="39"/>
        <v xml:space="preserve"> </v>
      </c>
      <c r="M303" s="106" t="str">
        <f t="shared" si="35"/>
        <v xml:space="preserve"> </v>
      </c>
      <c r="N303" s="51" t="str">
        <f t="shared" si="36"/>
        <v xml:space="preserve"> </v>
      </c>
      <c r="O303" s="51"/>
      <c r="P303" s="51" t="str">
        <f t="shared" si="37"/>
        <v xml:space="preserve"> </v>
      </c>
    </row>
    <row r="304" spans="8:16" ht="15" x14ac:dyDescent="0.25">
      <c r="H304" s="50" t="str">
        <f t="shared" si="38"/>
        <v xml:space="preserve"> </v>
      </c>
      <c r="I304" s="51" t="str">
        <f t="shared" si="33"/>
        <v xml:space="preserve"> </v>
      </c>
      <c r="J304" s="51" t="str">
        <f t="shared" si="32"/>
        <v xml:space="preserve"> </v>
      </c>
      <c r="K304" s="51" t="str">
        <f t="shared" si="34"/>
        <v/>
      </c>
      <c r="L304" s="106" t="str">
        <f t="shared" si="39"/>
        <v xml:space="preserve"> </v>
      </c>
      <c r="M304" s="106" t="str">
        <f t="shared" si="35"/>
        <v xml:space="preserve"> </v>
      </c>
      <c r="N304" s="51" t="str">
        <f t="shared" si="36"/>
        <v xml:space="preserve"> </v>
      </c>
      <c r="O304" s="51"/>
      <c r="P304" s="51" t="str">
        <f t="shared" si="37"/>
        <v xml:space="preserve"> </v>
      </c>
    </row>
    <row r="305" spans="8:16" ht="15" x14ac:dyDescent="0.25">
      <c r="H305" s="50" t="str">
        <f t="shared" si="38"/>
        <v xml:space="preserve"> </v>
      </c>
      <c r="I305" s="51" t="str">
        <f t="shared" si="33"/>
        <v xml:space="preserve"> </v>
      </c>
      <c r="J305" s="51" t="str">
        <f t="shared" si="32"/>
        <v xml:space="preserve"> </v>
      </c>
      <c r="K305" s="51" t="str">
        <f t="shared" si="34"/>
        <v/>
      </c>
      <c r="L305" s="106" t="str">
        <f t="shared" si="39"/>
        <v xml:space="preserve"> </v>
      </c>
      <c r="M305" s="106" t="str">
        <f t="shared" si="35"/>
        <v xml:space="preserve"> </v>
      </c>
      <c r="N305" s="51" t="str">
        <f t="shared" si="36"/>
        <v xml:space="preserve"> </v>
      </c>
      <c r="O305" s="51"/>
      <c r="P305" s="51" t="str">
        <f t="shared" si="37"/>
        <v xml:space="preserve"> </v>
      </c>
    </row>
    <row r="306" spans="8:16" ht="15" x14ac:dyDescent="0.25">
      <c r="H306" s="50" t="str">
        <f t="shared" si="38"/>
        <v xml:space="preserve"> </v>
      </c>
      <c r="I306" s="51" t="str">
        <f t="shared" si="33"/>
        <v xml:space="preserve"> </v>
      </c>
      <c r="J306" s="51" t="str">
        <f t="shared" si="32"/>
        <v xml:space="preserve"> </v>
      </c>
      <c r="K306" s="51" t="str">
        <f t="shared" si="34"/>
        <v/>
      </c>
      <c r="L306" s="106" t="str">
        <f t="shared" si="39"/>
        <v xml:space="preserve"> </v>
      </c>
      <c r="M306" s="106" t="str">
        <f t="shared" si="35"/>
        <v xml:space="preserve"> </v>
      </c>
      <c r="N306" s="51" t="str">
        <f t="shared" si="36"/>
        <v xml:space="preserve"> </v>
      </c>
      <c r="O306" s="51"/>
      <c r="P306" s="51" t="str">
        <f t="shared" si="37"/>
        <v xml:space="preserve"> </v>
      </c>
    </row>
    <row r="307" spans="8:16" ht="15" x14ac:dyDescent="0.25">
      <c r="H307" s="50" t="str">
        <f t="shared" si="38"/>
        <v xml:space="preserve"> </v>
      </c>
      <c r="I307" s="51" t="str">
        <f t="shared" si="33"/>
        <v xml:space="preserve"> </v>
      </c>
      <c r="J307" s="51" t="str">
        <f t="shared" si="32"/>
        <v xml:space="preserve"> </v>
      </c>
      <c r="K307" s="51" t="str">
        <f t="shared" si="34"/>
        <v/>
      </c>
      <c r="L307" s="106" t="str">
        <f t="shared" si="39"/>
        <v xml:space="preserve"> </v>
      </c>
      <c r="M307" s="106" t="str">
        <f t="shared" si="35"/>
        <v xml:space="preserve"> </v>
      </c>
      <c r="N307" s="51" t="str">
        <f t="shared" si="36"/>
        <v xml:space="preserve"> </v>
      </c>
      <c r="O307" s="51"/>
      <c r="P307" s="51" t="str">
        <f t="shared" si="37"/>
        <v xml:space="preserve"> </v>
      </c>
    </row>
    <row r="308" spans="8:16" ht="15" x14ac:dyDescent="0.25">
      <c r="H308" s="50" t="str">
        <f t="shared" si="38"/>
        <v xml:space="preserve"> </v>
      </c>
      <c r="I308" s="51" t="str">
        <f t="shared" si="33"/>
        <v xml:space="preserve"> </v>
      </c>
      <c r="J308" s="51" t="str">
        <f t="shared" si="32"/>
        <v xml:space="preserve"> </v>
      </c>
      <c r="K308" s="51" t="str">
        <f t="shared" si="34"/>
        <v/>
      </c>
      <c r="L308" s="106" t="str">
        <f t="shared" si="39"/>
        <v xml:space="preserve"> </v>
      </c>
      <c r="M308" s="106" t="str">
        <f t="shared" si="35"/>
        <v xml:space="preserve"> </v>
      </c>
      <c r="N308" s="51" t="str">
        <f t="shared" si="36"/>
        <v xml:space="preserve"> </v>
      </c>
      <c r="O308" s="51"/>
      <c r="P308" s="51" t="str">
        <f t="shared" si="37"/>
        <v xml:space="preserve"> </v>
      </c>
    </row>
    <row r="309" spans="8:16" ht="15" x14ac:dyDescent="0.25">
      <c r="H309" s="50" t="str">
        <f t="shared" si="38"/>
        <v xml:space="preserve"> </v>
      </c>
      <c r="I309" s="51" t="str">
        <f t="shared" si="33"/>
        <v xml:space="preserve"> </v>
      </c>
      <c r="J309" s="51" t="str">
        <f t="shared" si="32"/>
        <v xml:space="preserve"> </v>
      </c>
      <c r="K309" s="51" t="str">
        <f t="shared" si="34"/>
        <v/>
      </c>
      <c r="L309" s="106" t="str">
        <f t="shared" si="39"/>
        <v xml:space="preserve"> </v>
      </c>
      <c r="M309" s="106" t="str">
        <f t="shared" si="35"/>
        <v xml:space="preserve"> </v>
      </c>
      <c r="N309" s="51" t="str">
        <f t="shared" si="36"/>
        <v xml:space="preserve"> </v>
      </c>
      <c r="O309" s="51"/>
      <c r="P309" s="51" t="str">
        <f t="shared" si="37"/>
        <v xml:space="preserve"> </v>
      </c>
    </row>
    <row r="310" spans="8:16" ht="15" x14ac:dyDescent="0.25">
      <c r="H310" s="50" t="str">
        <f t="shared" si="38"/>
        <v xml:space="preserve"> </v>
      </c>
      <c r="I310" s="51" t="str">
        <f t="shared" si="33"/>
        <v xml:space="preserve"> </v>
      </c>
      <c r="J310" s="51" t="str">
        <f t="shared" si="32"/>
        <v xml:space="preserve"> </v>
      </c>
      <c r="K310" s="51" t="str">
        <f t="shared" si="34"/>
        <v/>
      </c>
      <c r="L310" s="106" t="str">
        <f t="shared" si="39"/>
        <v xml:space="preserve"> </v>
      </c>
      <c r="M310" s="106" t="str">
        <f t="shared" si="35"/>
        <v xml:space="preserve"> </v>
      </c>
      <c r="N310" s="51" t="str">
        <f t="shared" si="36"/>
        <v xml:space="preserve"> </v>
      </c>
      <c r="O310" s="51"/>
      <c r="P310" s="51" t="str">
        <f t="shared" si="37"/>
        <v xml:space="preserve"> </v>
      </c>
    </row>
    <row r="311" spans="8:16" ht="15" x14ac:dyDescent="0.25">
      <c r="H311" s="50" t="str">
        <f t="shared" si="38"/>
        <v xml:space="preserve"> </v>
      </c>
      <c r="I311" s="51" t="str">
        <f t="shared" si="33"/>
        <v xml:space="preserve"> </v>
      </c>
      <c r="J311" s="51" t="str">
        <f t="shared" si="32"/>
        <v xml:space="preserve"> </v>
      </c>
      <c r="K311" s="51" t="str">
        <f t="shared" si="34"/>
        <v/>
      </c>
      <c r="L311" s="106" t="str">
        <f t="shared" si="39"/>
        <v xml:space="preserve"> </v>
      </c>
      <c r="M311" s="106" t="str">
        <f t="shared" si="35"/>
        <v xml:space="preserve"> </v>
      </c>
      <c r="N311" s="51" t="str">
        <f t="shared" si="36"/>
        <v xml:space="preserve"> </v>
      </c>
      <c r="O311" s="51"/>
      <c r="P311" s="51" t="str">
        <f t="shared" si="37"/>
        <v xml:space="preserve"> </v>
      </c>
    </row>
    <row r="312" spans="8:16" ht="15" x14ac:dyDescent="0.25">
      <c r="H312" s="50" t="str">
        <f t="shared" si="38"/>
        <v xml:space="preserve"> </v>
      </c>
      <c r="I312" s="51" t="str">
        <f t="shared" si="33"/>
        <v xml:space="preserve"> </v>
      </c>
      <c r="J312" s="51" t="str">
        <f t="shared" si="32"/>
        <v xml:space="preserve"> </v>
      </c>
      <c r="K312" s="51" t="str">
        <f t="shared" si="34"/>
        <v/>
      </c>
      <c r="L312" s="106" t="str">
        <f t="shared" si="39"/>
        <v xml:space="preserve"> </v>
      </c>
      <c r="M312" s="106" t="str">
        <f t="shared" si="35"/>
        <v xml:space="preserve"> </v>
      </c>
      <c r="N312" s="51" t="str">
        <f t="shared" si="36"/>
        <v xml:space="preserve"> </v>
      </c>
      <c r="O312" s="51"/>
      <c r="P312" s="51" t="str">
        <f t="shared" si="37"/>
        <v xml:space="preserve"> </v>
      </c>
    </row>
    <row r="313" spans="8:16" ht="15" x14ac:dyDescent="0.25">
      <c r="H313" s="50" t="str">
        <f t="shared" si="38"/>
        <v xml:space="preserve"> </v>
      </c>
      <c r="I313" s="51" t="str">
        <f t="shared" si="33"/>
        <v xml:space="preserve"> </v>
      </c>
      <c r="J313" s="51" t="str">
        <f t="shared" si="32"/>
        <v xml:space="preserve"> </v>
      </c>
      <c r="K313" s="51" t="str">
        <f t="shared" si="34"/>
        <v/>
      </c>
      <c r="L313" s="106" t="str">
        <f t="shared" si="39"/>
        <v xml:space="preserve"> </v>
      </c>
      <c r="M313" s="106" t="str">
        <f t="shared" si="35"/>
        <v xml:space="preserve"> </v>
      </c>
      <c r="N313" s="51" t="str">
        <f t="shared" si="36"/>
        <v xml:space="preserve"> </v>
      </c>
      <c r="O313" s="51"/>
      <c r="P313" s="51" t="str">
        <f t="shared" si="37"/>
        <v xml:space="preserve"> </v>
      </c>
    </row>
    <row r="314" spans="8:16" ht="15" x14ac:dyDescent="0.25">
      <c r="H314" s="50" t="str">
        <f t="shared" si="38"/>
        <v xml:space="preserve"> </v>
      </c>
      <c r="I314" s="51" t="str">
        <f t="shared" si="33"/>
        <v xml:space="preserve"> </v>
      </c>
      <c r="J314" s="51" t="str">
        <f t="shared" si="32"/>
        <v xml:space="preserve"> </v>
      </c>
      <c r="K314" s="51" t="str">
        <f t="shared" si="34"/>
        <v/>
      </c>
      <c r="L314" s="106" t="str">
        <f t="shared" si="39"/>
        <v xml:space="preserve"> </v>
      </c>
      <c r="M314" s="106" t="str">
        <f t="shared" si="35"/>
        <v xml:space="preserve"> </v>
      </c>
      <c r="N314" s="51" t="str">
        <f t="shared" si="36"/>
        <v xml:space="preserve"> </v>
      </c>
      <c r="O314" s="51"/>
      <c r="P314" s="51" t="str">
        <f t="shared" si="37"/>
        <v xml:space="preserve"> </v>
      </c>
    </row>
    <row r="315" spans="8:16" ht="15" x14ac:dyDescent="0.25">
      <c r="H315" s="50" t="str">
        <f t="shared" si="38"/>
        <v xml:space="preserve"> </v>
      </c>
      <c r="I315" s="51" t="str">
        <f t="shared" si="33"/>
        <v xml:space="preserve"> </v>
      </c>
      <c r="J315" s="51" t="str">
        <f t="shared" si="32"/>
        <v xml:space="preserve"> </v>
      </c>
      <c r="K315" s="51" t="str">
        <f t="shared" si="34"/>
        <v/>
      </c>
      <c r="L315" s="106" t="str">
        <f t="shared" si="39"/>
        <v xml:space="preserve"> </v>
      </c>
      <c r="M315" s="106" t="str">
        <f t="shared" si="35"/>
        <v xml:space="preserve"> </v>
      </c>
      <c r="N315" s="51" t="str">
        <f t="shared" si="36"/>
        <v xml:space="preserve"> </v>
      </c>
      <c r="O315" s="51"/>
      <c r="P315" s="51" t="str">
        <f t="shared" si="37"/>
        <v xml:space="preserve"> </v>
      </c>
    </row>
    <row r="316" spans="8:16" ht="15" x14ac:dyDescent="0.25">
      <c r="H316" s="50" t="str">
        <f t="shared" si="38"/>
        <v xml:space="preserve"> </v>
      </c>
      <c r="I316" s="51" t="str">
        <f t="shared" si="33"/>
        <v xml:space="preserve"> </v>
      </c>
      <c r="J316" s="51" t="str">
        <f t="shared" si="32"/>
        <v xml:space="preserve"> </v>
      </c>
      <c r="K316" s="51" t="str">
        <f t="shared" si="34"/>
        <v/>
      </c>
      <c r="L316" s="106" t="str">
        <f t="shared" si="39"/>
        <v xml:space="preserve"> </v>
      </c>
      <c r="M316" s="106" t="str">
        <f t="shared" si="35"/>
        <v xml:space="preserve"> </v>
      </c>
      <c r="N316" s="51" t="str">
        <f t="shared" si="36"/>
        <v xml:space="preserve"> </v>
      </c>
      <c r="O316" s="51"/>
      <c r="P316" s="51" t="str">
        <f t="shared" si="37"/>
        <v xml:space="preserve"> </v>
      </c>
    </row>
    <row r="317" spans="8:16" ht="15" x14ac:dyDescent="0.25">
      <c r="H317" s="50" t="str">
        <f t="shared" si="38"/>
        <v xml:space="preserve"> </v>
      </c>
      <c r="I317" s="51" t="str">
        <f t="shared" si="33"/>
        <v xml:space="preserve"> </v>
      </c>
      <c r="J317" s="51" t="str">
        <f t="shared" si="32"/>
        <v xml:space="preserve"> </v>
      </c>
      <c r="K317" s="51" t="str">
        <f t="shared" si="34"/>
        <v/>
      </c>
      <c r="L317" s="106" t="str">
        <f t="shared" si="39"/>
        <v xml:space="preserve"> </v>
      </c>
      <c r="M317" s="106" t="str">
        <f t="shared" si="35"/>
        <v xml:space="preserve"> </v>
      </c>
      <c r="N317" s="51" t="str">
        <f t="shared" si="36"/>
        <v xml:space="preserve"> </v>
      </c>
      <c r="O317" s="51"/>
      <c r="P317" s="51" t="str">
        <f t="shared" si="37"/>
        <v xml:space="preserve"> </v>
      </c>
    </row>
    <row r="318" spans="8:16" ht="15" x14ac:dyDescent="0.25">
      <c r="H318" s="50"/>
      <c r="I318" s="50"/>
      <c r="J318" s="50"/>
      <c r="K318" s="51"/>
      <c r="L318" s="51"/>
      <c r="M318" s="51"/>
      <c r="N318" s="51"/>
      <c r="O318" s="51"/>
      <c r="P318" s="51"/>
    </row>
    <row r="319" spans="8:16" ht="15" x14ac:dyDescent="0.25">
      <c r="H319" s="50"/>
      <c r="I319" s="50"/>
      <c r="J319" s="50"/>
      <c r="K319" s="51"/>
      <c r="L319" s="51"/>
      <c r="M319" s="51"/>
      <c r="N319" s="51"/>
      <c r="O319" s="51"/>
      <c r="P319" s="51"/>
    </row>
    <row r="320" spans="8:16" ht="15" x14ac:dyDescent="0.25">
      <c r="H320" s="50"/>
      <c r="I320" s="50"/>
      <c r="J320" s="50"/>
      <c r="K320" s="51"/>
      <c r="L320" s="51"/>
      <c r="M320" s="51"/>
      <c r="N320" s="51"/>
      <c r="O320" s="51"/>
      <c r="P320" s="51"/>
    </row>
    <row r="321" spans="8:16" ht="15" x14ac:dyDescent="0.25">
      <c r="H321" s="50"/>
      <c r="I321" s="50"/>
      <c r="J321" s="50"/>
      <c r="K321" s="51"/>
      <c r="L321" s="51"/>
      <c r="M321" s="51"/>
      <c r="N321" s="51"/>
      <c r="O321" s="51"/>
      <c r="P321" s="51"/>
    </row>
    <row r="322" spans="8:16" ht="15" x14ac:dyDescent="0.25">
      <c r="H322" s="50"/>
      <c r="I322" s="50"/>
      <c r="J322" s="50"/>
      <c r="K322" s="51"/>
      <c r="L322" s="51"/>
      <c r="M322" s="51"/>
      <c r="N322" s="51"/>
      <c r="O322" s="51"/>
      <c r="P322" s="51"/>
    </row>
    <row r="323" spans="8:16" ht="15" x14ac:dyDescent="0.25">
      <c r="H323" s="50"/>
      <c r="I323" s="50"/>
      <c r="J323" s="50"/>
      <c r="K323" s="51"/>
      <c r="L323" s="51"/>
      <c r="M323" s="51"/>
      <c r="N323" s="51"/>
      <c r="O323" s="51"/>
      <c r="P323" s="51"/>
    </row>
    <row r="324" spans="8:16" ht="15" x14ac:dyDescent="0.25">
      <c r="H324" s="50"/>
      <c r="I324" s="50"/>
      <c r="J324" s="50"/>
      <c r="K324" s="51"/>
      <c r="L324" s="51"/>
      <c r="M324" s="51"/>
      <c r="N324" s="51"/>
      <c r="O324" s="51"/>
      <c r="P324" s="51"/>
    </row>
    <row r="325" spans="8:16" ht="15" x14ac:dyDescent="0.25">
      <c r="H325" s="50"/>
      <c r="I325" s="50"/>
      <c r="J325" s="50"/>
      <c r="K325" s="51"/>
      <c r="L325" s="51"/>
      <c r="M325" s="51"/>
      <c r="N325" s="51"/>
      <c r="O325" s="51"/>
      <c r="P325" s="51"/>
    </row>
    <row r="326" spans="8:16" ht="15" x14ac:dyDescent="0.25">
      <c r="H326" s="50"/>
      <c r="I326" s="50"/>
      <c r="J326" s="50"/>
      <c r="K326" s="51"/>
      <c r="L326" s="51"/>
      <c r="M326" s="51"/>
      <c r="N326" s="51"/>
      <c r="O326" s="51"/>
      <c r="P326" s="51"/>
    </row>
    <row r="327" spans="8:16" ht="15" x14ac:dyDescent="0.25">
      <c r="H327" s="50"/>
      <c r="I327" s="50"/>
      <c r="J327" s="50"/>
      <c r="K327" s="51"/>
      <c r="L327" s="51"/>
      <c r="M327" s="51"/>
      <c r="N327" s="51"/>
      <c r="O327" s="51"/>
      <c r="P327" s="51"/>
    </row>
    <row r="328" spans="8:16" ht="15" x14ac:dyDescent="0.25">
      <c r="H328" s="50"/>
      <c r="I328" s="50"/>
      <c r="J328" s="50"/>
      <c r="K328" s="51"/>
      <c r="L328" s="51"/>
      <c r="M328" s="51"/>
      <c r="N328" s="51"/>
      <c r="O328" s="51"/>
      <c r="P328" s="51"/>
    </row>
    <row r="329" spans="8:16" ht="15" x14ac:dyDescent="0.25">
      <c r="H329" s="50"/>
      <c r="I329" s="50"/>
      <c r="J329" s="50"/>
      <c r="K329" s="51"/>
      <c r="L329" s="51"/>
      <c r="M329" s="51"/>
      <c r="N329" s="51"/>
      <c r="O329" s="51"/>
      <c r="P329" s="51"/>
    </row>
    <row r="330" spans="8:16" ht="15" x14ac:dyDescent="0.25">
      <c r="H330" s="50"/>
      <c r="I330" s="50"/>
      <c r="J330" s="50"/>
      <c r="K330" s="51"/>
      <c r="L330" s="51"/>
      <c r="M330" s="51"/>
      <c r="N330" s="51"/>
      <c r="O330" s="51"/>
      <c r="P330" s="51"/>
    </row>
    <row r="331" spans="8:16" ht="15" x14ac:dyDescent="0.25">
      <c r="H331" s="50"/>
      <c r="I331" s="50"/>
      <c r="J331" s="50"/>
      <c r="K331" s="51"/>
      <c r="L331" s="51"/>
      <c r="M331" s="51"/>
      <c r="N331" s="51"/>
      <c r="O331" s="51"/>
      <c r="P331" s="51"/>
    </row>
    <row r="332" spans="8:16" ht="15" x14ac:dyDescent="0.25">
      <c r="H332" s="50"/>
      <c r="I332" s="50"/>
      <c r="J332" s="50"/>
      <c r="K332" s="51"/>
      <c r="L332" s="51"/>
      <c r="M332" s="51"/>
      <c r="N332" s="51"/>
      <c r="O332" s="51"/>
      <c r="P332" s="51"/>
    </row>
    <row r="333" spans="8:16" ht="15" x14ac:dyDescent="0.25">
      <c r="H333" s="50"/>
      <c r="I333" s="50"/>
      <c r="J333" s="50"/>
      <c r="K333" s="51"/>
      <c r="L333" s="51"/>
      <c r="M333" s="51"/>
      <c r="N333" s="51"/>
      <c r="O333" s="51"/>
      <c r="P333" s="51"/>
    </row>
    <row r="334" spans="8:16" ht="15" x14ac:dyDescent="0.25">
      <c r="H334" s="50"/>
      <c r="I334" s="50"/>
      <c r="J334" s="50"/>
      <c r="K334" s="51"/>
      <c r="L334" s="51"/>
      <c r="M334" s="51"/>
      <c r="N334" s="51"/>
      <c r="O334" s="51"/>
      <c r="P334" s="51"/>
    </row>
    <row r="335" spans="8:16" ht="15" x14ac:dyDescent="0.25">
      <c r="H335" s="50"/>
      <c r="I335" s="50"/>
      <c r="J335" s="50"/>
      <c r="K335" s="51"/>
      <c r="L335" s="51"/>
      <c r="M335" s="51"/>
      <c r="N335" s="51"/>
      <c r="O335" s="51"/>
      <c r="P335" s="51"/>
    </row>
    <row r="336" spans="8:16" ht="15" x14ac:dyDescent="0.25">
      <c r="H336" s="50"/>
      <c r="I336" s="50"/>
      <c r="J336" s="50"/>
      <c r="K336" s="51"/>
      <c r="L336" s="51"/>
      <c r="M336" s="51"/>
      <c r="N336" s="51"/>
      <c r="O336" s="51"/>
      <c r="P336" s="51"/>
    </row>
    <row r="337" spans="8:16" ht="15" x14ac:dyDescent="0.25">
      <c r="H337" s="50"/>
      <c r="I337" s="50"/>
      <c r="J337" s="50"/>
      <c r="K337" s="51"/>
      <c r="L337" s="51"/>
      <c r="M337" s="51"/>
      <c r="N337" s="51"/>
      <c r="O337" s="51"/>
      <c r="P337" s="51"/>
    </row>
    <row r="338" spans="8:16" ht="15" x14ac:dyDescent="0.25">
      <c r="H338" s="50"/>
      <c r="I338" s="50"/>
      <c r="J338" s="50"/>
      <c r="K338" s="51"/>
      <c r="L338" s="51"/>
      <c r="M338" s="51"/>
      <c r="N338" s="51"/>
      <c r="O338" s="51"/>
      <c r="P338" s="51"/>
    </row>
    <row r="339" spans="8:16" ht="15" x14ac:dyDescent="0.25">
      <c r="H339" s="50"/>
      <c r="I339" s="50"/>
      <c r="J339" s="50"/>
      <c r="K339" s="51"/>
      <c r="L339" s="51"/>
      <c r="M339" s="51"/>
      <c r="N339" s="51"/>
      <c r="O339" s="51"/>
      <c r="P339" s="51"/>
    </row>
    <row r="340" spans="8:16" ht="15" x14ac:dyDescent="0.25">
      <c r="H340" s="50"/>
      <c r="I340" s="50"/>
      <c r="J340" s="50"/>
      <c r="K340" s="51"/>
      <c r="L340" s="51"/>
      <c r="M340" s="51"/>
      <c r="N340" s="51"/>
      <c r="O340" s="51"/>
      <c r="P340" s="51"/>
    </row>
    <row r="341" spans="8:16" ht="15" x14ac:dyDescent="0.25">
      <c r="H341" s="50"/>
      <c r="I341" s="50"/>
      <c r="J341" s="50"/>
      <c r="K341" s="51"/>
      <c r="L341" s="51"/>
      <c r="M341" s="51"/>
      <c r="N341" s="51"/>
      <c r="O341" s="51"/>
      <c r="P341" s="51"/>
    </row>
    <row r="342" spans="8:16" ht="15" x14ac:dyDescent="0.25">
      <c r="H342" s="50"/>
      <c r="I342" s="50"/>
      <c r="J342" s="50"/>
      <c r="K342" s="51"/>
      <c r="L342" s="51"/>
      <c r="M342" s="51"/>
      <c r="N342" s="51"/>
      <c r="O342" s="51"/>
      <c r="P342" s="51"/>
    </row>
    <row r="343" spans="8:16" ht="15" x14ac:dyDescent="0.25">
      <c r="H343" s="50"/>
      <c r="I343" s="50"/>
      <c r="J343" s="50"/>
      <c r="K343" s="51"/>
      <c r="L343" s="51"/>
      <c r="M343" s="51"/>
      <c r="N343" s="51"/>
      <c r="O343" s="51"/>
      <c r="P343" s="51"/>
    </row>
    <row r="344" spans="8:16" ht="15" x14ac:dyDescent="0.25">
      <c r="H344" s="50"/>
      <c r="I344" s="50"/>
      <c r="J344" s="50"/>
      <c r="K344" s="51"/>
      <c r="L344" s="51"/>
      <c r="M344" s="51"/>
      <c r="N344" s="51"/>
      <c r="O344" s="51"/>
      <c r="P344" s="51"/>
    </row>
    <row r="345" spans="8:16" ht="15" x14ac:dyDescent="0.25">
      <c r="H345" s="50"/>
      <c r="I345" s="50"/>
      <c r="J345" s="50"/>
      <c r="K345" s="51"/>
      <c r="L345" s="51"/>
      <c r="M345" s="51"/>
      <c r="N345" s="51"/>
      <c r="O345" s="51"/>
      <c r="P345" s="51"/>
    </row>
    <row r="346" spans="8:16" ht="15" x14ac:dyDescent="0.25">
      <c r="H346" s="50"/>
      <c r="I346" s="50"/>
      <c r="J346" s="50"/>
      <c r="K346" s="51"/>
      <c r="L346" s="51"/>
      <c r="M346" s="51"/>
      <c r="N346" s="51"/>
      <c r="O346" s="51"/>
      <c r="P346" s="51"/>
    </row>
    <row r="347" spans="8:16" ht="15" x14ac:dyDescent="0.25">
      <c r="H347" s="50"/>
      <c r="I347" s="50"/>
      <c r="J347" s="50"/>
      <c r="K347" s="51"/>
      <c r="L347" s="51"/>
      <c r="M347" s="51"/>
      <c r="N347" s="51"/>
      <c r="O347" s="51"/>
      <c r="P347" s="51"/>
    </row>
    <row r="348" spans="8:16" ht="15" x14ac:dyDescent="0.25">
      <c r="H348" s="50"/>
      <c r="I348" s="50"/>
      <c r="J348" s="50"/>
      <c r="K348" s="51"/>
      <c r="L348" s="51"/>
      <c r="M348" s="51"/>
      <c r="N348" s="51"/>
      <c r="O348" s="51"/>
      <c r="P348" s="51"/>
    </row>
    <row r="349" spans="8:16" ht="15" x14ac:dyDescent="0.25">
      <c r="H349" s="50"/>
      <c r="I349" s="50"/>
      <c r="J349" s="50"/>
      <c r="K349" s="51"/>
      <c r="L349" s="51"/>
      <c r="M349" s="51"/>
      <c r="N349" s="51"/>
      <c r="O349" s="51"/>
      <c r="P349" s="51"/>
    </row>
    <row r="350" spans="8:16" ht="15" x14ac:dyDescent="0.25">
      <c r="H350" s="50"/>
      <c r="I350" s="50"/>
      <c r="J350" s="50"/>
      <c r="K350" s="51"/>
      <c r="L350" s="51"/>
      <c r="M350" s="51"/>
      <c r="N350" s="51"/>
      <c r="O350" s="51"/>
      <c r="P350" s="51"/>
    </row>
    <row r="351" spans="8:16" ht="15" x14ac:dyDescent="0.25">
      <c r="H351" s="50"/>
      <c r="I351" s="50"/>
      <c r="J351" s="50"/>
      <c r="K351" s="51"/>
      <c r="L351" s="51"/>
      <c r="M351" s="51"/>
      <c r="N351" s="51"/>
      <c r="O351" s="51"/>
      <c r="P351" s="51"/>
    </row>
    <row r="352" spans="8:16" ht="15" x14ac:dyDescent="0.25">
      <c r="H352" s="50"/>
      <c r="I352" s="50"/>
      <c r="J352" s="50"/>
      <c r="K352" s="51"/>
      <c r="L352" s="51"/>
      <c r="M352" s="51"/>
      <c r="N352" s="51"/>
      <c r="O352" s="51"/>
      <c r="P352" s="51"/>
    </row>
    <row r="353" spans="8:16" ht="15" x14ac:dyDescent="0.25">
      <c r="H353" s="50"/>
      <c r="I353" s="50"/>
      <c r="J353" s="50"/>
      <c r="K353" s="51"/>
      <c r="L353" s="51"/>
      <c r="M353" s="51"/>
      <c r="N353" s="51"/>
      <c r="O353" s="51"/>
      <c r="P353" s="51"/>
    </row>
    <row r="354" spans="8:16" ht="15" x14ac:dyDescent="0.25">
      <c r="H354" s="50"/>
      <c r="I354" s="50"/>
      <c r="J354" s="50"/>
      <c r="K354" s="51"/>
      <c r="L354" s="51"/>
      <c r="M354" s="51"/>
      <c r="N354" s="51"/>
      <c r="O354" s="51"/>
      <c r="P354" s="51"/>
    </row>
    <row r="355" spans="8:16" ht="15" x14ac:dyDescent="0.25">
      <c r="H355" s="50"/>
      <c r="I355" s="50"/>
      <c r="J355" s="50"/>
      <c r="K355" s="51"/>
      <c r="L355" s="51"/>
      <c r="M355" s="51"/>
      <c r="N355" s="51"/>
      <c r="O355" s="51"/>
      <c r="P355" s="51"/>
    </row>
    <row r="356" spans="8:16" ht="15" x14ac:dyDescent="0.25">
      <c r="H356" s="50"/>
      <c r="I356" s="50"/>
      <c r="J356" s="50"/>
      <c r="K356" s="51"/>
      <c r="L356" s="51"/>
      <c r="M356" s="51"/>
      <c r="N356" s="51"/>
      <c r="O356" s="51"/>
      <c r="P356" s="51"/>
    </row>
    <row r="357" spans="8:16" ht="15" x14ac:dyDescent="0.25">
      <c r="H357" s="50"/>
      <c r="I357" s="50"/>
      <c r="J357" s="50"/>
      <c r="K357" s="51"/>
      <c r="L357" s="51"/>
      <c r="M357" s="51"/>
      <c r="N357" s="51"/>
      <c r="O357" s="51"/>
      <c r="P357" s="51"/>
    </row>
    <row r="358" spans="8:16" ht="15" x14ac:dyDescent="0.25">
      <c r="H358" s="50"/>
      <c r="I358" s="50"/>
      <c r="J358" s="50"/>
      <c r="K358" s="51"/>
      <c r="L358" s="51"/>
      <c r="M358" s="51"/>
      <c r="N358" s="51"/>
      <c r="O358" s="51"/>
      <c r="P358" s="51"/>
    </row>
    <row r="359" spans="8:16" ht="15" x14ac:dyDescent="0.25">
      <c r="H359" s="50"/>
      <c r="I359" s="50"/>
      <c r="J359" s="50"/>
      <c r="K359" s="51"/>
      <c r="L359" s="51"/>
      <c r="M359" s="51"/>
      <c r="N359" s="51"/>
      <c r="O359" s="51"/>
      <c r="P359" s="51"/>
    </row>
    <row r="360" spans="8:16" ht="15" x14ac:dyDescent="0.25">
      <c r="H360" s="50"/>
      <c r="I360" s="50"/>
      <c r="J360" s="50"/>
      <c r="K360" s="51"/>
      <c r="L360" s="51"/>
      <c r="M360" s="51"/>
      <c r="N360" s="51"/>
      <c r="O360" s="51"/>
      <c r="P360" s="51"/>
    </row>
    <row r="361" spans="8:16" ht="15" x14ac:dyDescent="0.25">
      <c r="H361" s="50"/>
      <c r="I361" s="50"/>
      <c r="J361" s="50"/>
      <c r="K361" s="51"/>
      <c r="L361" s="51"/>
      <c r="M361" s="51"/>
      <c r="N361" s="51"/>
      <c r="O361" s="51"/>
      <c r="P361" s="51"/>
    </row>
    <row r="362" spans="8:16" ht="15" x14ac:dyDescent="0.25">
      <c r="H362" s="50"/>
      <c r="I362" s="50"/>
      <c r="J362" s="50"/>
      <c r="K362" s="51"/>
      <c r="L362" s="51"/>
      <c r="M362" s="51"/>
      <c r="N362" s="51"/>
      <c r="O362" s="51"/>
      <c r="P362" s="51"/>
    </row>
    <row r="363" spans="8:16" ht="15" x14ac:dyDescent="0.25">
      <c r="H363" s="50"/>
      <c r="I363" s="50"/>
      <c r="J363" s="50"/>
      <c r="K363" s="51"/>
      <c r="L363" s="51"/>
      <c r="M363" s="51"/>
      <c r="N363" s="51"/>
      <c r="O363" s="51"/>
      <c r="P363" s="51"/>
    </row>
    <row r="364" spans="8:16" ht="15" x14ac:dyDescent="0.25">
      <c r="H364" s="50"/>
      <c r="I364" s="50"/>
      <c r="J364" s="50"/>
      <c r="K364" s="51"/>
      <c r="L364" s="51"/>
      <c r="M364" s="51"/>
      <c r="N364" s="51"/>
      <c r="O364" s="51"/>
      <c r="P364" s="51"/>
    </row>
    <row r="365" spans="8:16" ht="15" x14ac:dyDescent="0.25">
      <c r="H365" s="50"/>
      <c r="I365" s="50"/>
      <c r="J365" s="50"/>
      <c r="K365" s="51"/>
      <c r="L365" s="51"/>
      <c r="M365" s="51"/>
      <c r="N365" s="51"/>
      <c r="O365" s="51"/>
      <c r="P365" s="51"/>
    </row>
    <row r="366" spans="8:16" ht="15" x14ac:dyDescent="0.25">
      <c r="H366" s="50"/>
      <c r="I366" s="50"/>
      <c r="J366" s="50"/>
      <c r="K366" s="51"/>
      <c r="L366" s="51"/>
      <c r="M366" s="51"/>
      <c r="N366" s="51"/>
      <c r="O366" s="51"/>
      <c r="P366" s="51"/>
    </row>
    <row r="367" spans="8:16" ht="15" x14ac:dyDescent="0.25">
      <c r="H367" s="50"/>
      <c r="I367" s="50"/>
      <c r="J367" s="50"/>
      <c r="K367" s="51"/>
      <c r="L367" s="51"/>
      <c r="M367" s="51"/>
      <c r="N367" s="51"/>
      <c r="O367" s="51"/>
      <c r="P367" s="51"/>
    </row>
    <row r="368" spans="8:16" ht="15" x14ac:dyDescent="0.25">
      <c r="H368" s="50"/>
      <c r="I368" s="50"/>
      <c r="J368" s="50"/>
      <c r="K368" s="51"/>
      <c r="L368" s="51"/>
      <c r="M368" s="51"/>
      <c r="N368" s="51"/>
      <c r="O368" s="51"/>
      <c r="P368" s="51"/>
    </row>
    <row r="369" spans="8:16" ht="15" x14ac:dyDescent="0.25">
      <c r="H369" s="50"/>
      <c r="I369" s="50"/>
      <c r="J369" s="50"/>
      <c r="K369" s="51"/>
      <c r="L369" s="51"/>
      <c r="M369" s="51"/>
      <c r="N369" s="51"/>
      <c r="O369" s="51"/>
      <c r="P369" s="51"/>
    </row>
    <row r="370" spans="8:16" ht="15" x14ac:dyDescent="0.25">
      <c r="H370" s="50"/>
      <c r="I370" s="50"/>
      <c r="J370" s="50"/>
      <c r="K370" s="51"/>
      <c r="L370" s="51"/>
      <c r="M370" s="51"/>
      <c r="N370" s="51"/>
      <c r="O370" s="51"/>
      <c r="P370" s="51"/>
    </row>
    <row r="371" spans="8:16" ht="15" x14ac:dyDescent="0.25">
      <c r="H371" s="50"/>
      <c r="I371" s="50"/>
      <c r="J371" s="50"/>
      <c r="K371" s="51"/>
      <c r="L371" s="51"/>
      <c r="M371" s="51"/>
      <c r="N371" s="51"/>
      <c r="O371" s="51"/>
      <c r="P371" s="51"/>
    </row>
    <row r="372" spans="8:16" ht="15" x14ac:dyDescent="0.25">
      <c r="H372" s="50"/>
      <c r="I372" s="50"/>
      <c r="J372" s="50"/>
      <c r="K372" s="51"/>
      <c r="L372" s="51"/>
      <c r="M372" s="51"/>
      <c r="N372" s="51"/>
      <c r="O372" s="51"/>
      <c r="P372" s="51"/>
    </row>
    <row r="373" spans="8:16" ht="15" x14ac:dyDescent="0.25">
      <c r="H373" s="50"/>
      <c r="I373" s="50"/>
      <c r="J373" s="50"/>
      <c r="K373" s="51"/>
      <c r="L373" s="51"/>
      <c r="M373" s="51"/>
      <c r="N373" s="51"/>
      <c r="O373" s="51"/>
      <c r="P373" s="51"/>
    </row>
    <row r="374" spans="8:16" ht="15" x14ac:dyDescent="0.25">
      <c r="H374" s="50"/>
      <c r="I374" s="50"/>
      <c r="J374" s="50"/>
      <c r="K374" s="51"/>
      <c r="L374" s="51"/>
      <c r="M374" s="51"/>
      <c r="N374" s="51"/>
      <c r="O374" s="51"/>
      <c r="P374" s="51"/>
    </row>
    <row r="375" spans="8:16" ht="15" x14ac:dyDescent="0.25">
      <c r="H375" s="50"/>
      <c r="I375" s="50"/>
      <c r="J375" s="50"/>
      <c r="K375" s="51"/>
      <c r="L375" s="51"/>
      <c r="M375" s="51"/>
      <c r="N375" s="51"/>
      <c r="O375" s="51"/>
      <c r="P375" s="51"/>
    </row>
    <row r="376" spans="8:16" ht="15" x14ac:dyDescent="0.25">
      <c r="H376" s="50"/>
      <c r="I376" s="50"/>
      <c r="J376" s="50"/>
      <c r="K376" s="51"/>
      <c r="L376" s="51"/>
      <c r="M376" s="51"/>
      <c r="N376" s="51"/>
      <c r="O376" s="51"/>
      <c r="P376" s="51"/>
    </row>
    <row r="377" spans="8:16" ht="15" x14ac:dyDescent="0.25">
      <c r="H377" s="50"/>
      <c r="I377" s="50"/>
      <c r="J377" s="50"/>
      <c r="K377" s="51"/>
      <c r="L377" s="51"/>
      <c r="M377" s="51"/>
      <c r="N377" s="51"/>
      <c r="O377" s="51"/>
      <c r="P377" s="51"/>
    </row>
    <row r="378" spans="8:16" ht="15" x14ac:dyDescent="0.25">
      <c r="H378" s="50"/>
      <c r="I378" s="50"/>
      <c r="J378" s="50"/>
      <c r="K378" s="51"/>
      <c r="L378" s="51"/>
      <c r="M378" s="51"/>
      <c r="N378" s="51"/>
      <c r="O378" s="51"/>
      <c r="P378" s="51"/>
    </row>
    <row r="379" spans="8:16" ht="15" x14ac:dyDescent="0.25">
      <c r="H379" s="50"/>
      <c r="I379" s="50"/>
      <c r="J379" s="50"/>
      <c r="K379" s="51"/>
      <c r="L379" s="51"/>
      <c r="M379" s="51"/>
      <c r="N379" s="51"/>
      <c r="O379" s="51"/>
      <c r="P379" s="51"/>
    </row>
    <row r="380" spans="8:16" ht="15" x14ac:dyDescent="0.25">
      <c r="H380" s="50"/>
      <c r="I380" s="50"/>
      <c r="J380" s="50"/>
      <c r="K380" s="51"/>
      <c r="L380" s="51"/>
      <c r="M380" s="51"/>
      <c r="N380" s="51"/>
      <c r="O380" s="51"/>
      <c r="P380" s="51"/>
    </row>
    <row r="381" spans="8:16" ht="15" x14ac:dyDescent="0.25">
      <c r="H381" s="50"/>
      <c r="I381" s="50"/>
      <c r="J381" s="50"/>
      <c r="K381" s="51"/>
      <c r="L381" s="51"/>
      <c r="M381" s="51"/>
      <c r="N381" s="51"/>
      <c r="O381" s="51"/>
      <c r="P381" s="51"/>
    </row>
    <row r="382" spans="8:16" ht="15" x14ac:dyDescent="0.25">
      <c r="H382" s="50"/>
      <c r="I382" s="50"/>
      <c r="J382" s="50"/>
      <c r="K382" s="51"/>
      <c r="L382" s="51"/>
      <c r="M382" s="51"/>
      <c r="N382" s="51"/>
      <c r="O382" s="51"/>
      <c r="P382" s="51"/>
    </row>
    <row r="383" spans="8:16" ht="15" x14ac:dyDescent="0.25">
      <c r="H383" s="50"/>
      <c r="I383" s="50"/>
      <c r="J383" s="50"/>
      <c r="K383" s="51"/>
      <c r="L383" s="51"/>
      <c r="M383" s="51"/>
      <c r="N383" s="51"/>
      <c r="O383" s="51"/>
      <c r="P383" s="51"/>
    </row>
    <row r="384" spans="8:16" ht="15" x14ac:dyDescent="0.25">
      <c r="H384" s="50"/>
      <c r="I384" s="50"/>
      <c r="J384" s="50"/>
      <c r="K384" s="51"/>
      <c r="L384" s="51"/>
      <c r="M384" s="51"/>
      <c r="N384" s="51"/>
      <c r="O384" s="51"/>
      <c r="P384" s="51"/>
    </row>
    <row r="385" spans="8:16" ht="15" x14ac:dyDescent="0.25">
      <c r="H385" s="50"/>
      <c r="I385" s="50"/>
      <c r="J385" s="50"/>
      <c r="K385" s="51"/>
      <c r="L385" s="51"/>
      <c r="M385" s="51"/>
      <c r="N385" s="51"/>
      <c r="O385" s="51"/>
      <c r="P385" s="51"/>
    </row>
    <row r="386" spans="8:16" ht="15" x14ac:dyDescent="0.25">
      <c r="H386" s="50"/>
      <c r="I386" s="50"/>
      <c r="J386" s="50"/>
      <c r="K386" s="51"/>
      <c r="L386" s="51"/>
      <c r="M386" s="51"/>
      <c r="N386" s="51"/>
      <c r="O386" s="51"/>
      <c r="P386" s="51"/>
    </row>
    <row r="387" spans="8:16" ht="15" x14ac:dyDescent="0.25">
      <c r="H387" s="50"/>
      <c r="I387" s="50"/>
      <c r="J387" s="50"/>
      <c r="K387" s="51"/>
      <c r="L387" s="51"/>
      <c r="M387" s="51"/>
      <c r="N387" s="51"/>
      <c r="O387" s="51"/>
      <c r="P387" s="51"/>
    </row>
    <row r="388" spans="8:16" ht="15" x14ac:dyDescent="0.25">
      <c r="H388" s="50"/>
      <c r="I388" s="50"/>
      <c r="J388" s="50"/>
      <c r="K388" s="51"/>
      <c r="L388" s="51"/>
      <c r="M388" s="51"/>
      <c r="N388" s="51"/>
      <c r="O388" s="51"/>
      <c r="P388" s="51"/>
    </row>
    <row r="389" spans="8:16" ht="15" x14ac:dyDescent="0.25">
      <c r="H389" s="50"/>
      <c r="I389" s="50"/>
      <c r="J389" s="50"/>
      <c r="K389" s="51"/>
      <c r="L389" s="51"/>
      <c r="M389" s="51"/>
      <c r="N389" s="51"/>
      <c r="O389" s="51"/>
      <c r="P389" s="51"/>
    </row>
    <row r="390" spans="8:16" ht="15" x14ac:dyDescent="0.25">
      <c r="H390" s="50"/>
      <c r="I390" s="50"/>
      <c r="J390" s="50"/>
      <c r="K390" s="51"/>
      <c r="L390" s="51"/>
      <c r="M390" s="51"/>
      <c r="N390" s="51"/>
      <c r="O390" s="51"/>
      <c r="P390" s="51"/>
    </row>
    <row r="391" spans="8:16" ht="15" x14ac:dyDescent="0.25">
      <c r="H391" s="50"/>
      <c r="I391" s="50"/>
      <c r="J391" s="50"/>
      <c r="K391" s="51"/>
      <c r="L391" s="51"/>
      <c r="M391" s="51"/>
      <c r="N391" s="51"/>
      <c r="O391" s="51"/>
      <c r="P391" s="51"/>
    </row>
    <row r="392" spans="8:16" ht="15" x14ac:dyDescent="0.25">
      <c r="H392" s="50"/>
      <c r="I392" s="50"/>
      <c r="J392" s="50"/>
      <c r="K392" s="51"/>
      <c r="L392" s="51"/>
      <c r="M392" s="51"/>
      <c r="N392" s="51"/>
      <c r="O392" s="51"/>
      <c r="P392" s="51"/>
    </row>
    <row r="393" spans="8:16" ht="15" x14ac:dyDescent="0.25">
      <c r="H393" s="50"/>
      <c r="I393" s="50"/>
      <c r="J393" s="50"/>
      <c r="K393" s="51"/>
      <c r="L393" s="51"/>
      <c r="M393" s="51"/>
      <c r="N393" s="51"/>
      <c r="O393" s="51"/>
      <c r="P393" s="51"/>
    </row>
    <row r="394" spans="8:16" ht="15" x14ac:dyDescent="0.25">
      <c r="H394" s="50"/>
      <c r="I394" s="50"/>
      <c r="J394" s="50"/>
      <c r="K394" s="51"/>
      <c r="L394" s="51"/>
      <c r="M394" s="51"/>
      <c r="N394" s="51"/>
      <c r="O394" s="51"/>
      <c r="P394" s="51"/>
    </row>
    <row r="395" spans="8:16" ht="15" x14ac:dyDescent="0.25">
      <c r="H395" s="50"/>
      <c r="I395" s="50"/>
      <c r="J395" s="50"/>
      <c r="K395" s="51"/>
      <c r="L395" s="51"/>
      <c r="M395" s="51"/>
      <c r="N395" s="51"/>
      <c r="O395" s="51"/>
      <c r="P395" s="51"/>
    </row>
    <row r="396" spans="8:16" ht="15" x14ac:dyDescent="0.25">
      <c r="H396" s="50"/>
      <c r="I396" s="50"/>
      <c r="J396" s="50"/>
      <c r="K396" s="51"/>
      <c r="L396" s="51"/>
      <c r="M396" s="51"/>
      <c r="N396" s="51"/>
      <c r="O396" s="51"/>
      <c r="P396" s="51"/>
    </row>
    <row r="397" spans="8:16" ht="15" x14ac:dyDescent="0.25">
      <c r="H397" s="50"/>
      <c r="I397" s="50"/>
      <c r="J397" s="50"/>
      <c r="K397" s="51"/>
      <c r="L397" s="51"/>
      <c r="M397" s="51"/>
      <c r="N397" s="51"/>
      <c r="O397" s="51"/>
      <c r="P397" s="51"/>
    </row>
    <row r="398" spans="8:16" ht="15" x14ac:dyDescent="0.25">
      <c r="H398" s="50"/>
      <c r="I398" s="50"/>
      <c r="J398" s="50"/>
      <c r="K398" s="51"/>
      <c r="L398" s="51"/>
      <c r="M398" s="51"/>
      <c r="N398" s="51"/>
      <c r="O398" s="51"/>
      <c r="P398" s="51"/>
    </row>
    <row r="399" spans="8:16" ht="15" x14ac:dyDescent="0.25">
      <c r="H399" s="50"/>
      <c r="I399" s="50"/>
      <c r="J399" s="50"/>
      <c r="K399" s="51"/>
      <c r="L399" s="51"/>
      <c r="M399" s="51"/>
      <c r="N399" s="51"/>
      <c r="O399" s="51"/>
      <c r="P399" s="51"/>
    </row>
    <row r="400" spans="8:16" ht="15" x14ac:dyDescent="0.25">
      <c r="H400" s="50"/>
      <c r="I400" s="50"/>
      <c r="J400" s="50"/>
      <c r="K400" s="51"/>
      <c r="L400" s="51"/>
      <c r="M400" s="51"/>
      <c r="N400" s="51"/>
      <c r="O400" s="51"/>
      <c r="P400" s="51"/>
    </row>
    <row r="401" spans="8:16" ht="15" x14ac:dyDescent="0.25">
      <c r="H401" s="50"/>
      <c r="I401" s="50"/>
      <c r="J401" s="50"/>
      <c r="K401" s="51"/>
      <c r="L401" s="51"/>
      <c r="M401" s="51"/>
      <c r="N401" s="51"/>
      <c r="O401" s="51"/>
      <c r="P401" s="51"/>
    </row>
    <row r="402" spans="8:16" ht="15" x14ac:dyDescent="0.25">
      <c r="H402" s="50"/>
      <c r="I402" s="50"/>
      <c r="J402" s="50"/>
      <c r="K402" s="51"/>
      <c r="L402" s="51"/>
      <c r="M402" s="51"/>
      <c r="N402" s="51"/>
      <c r="O402" s="51"/>
      <c r="P402" s="51"/>
    </row>
    <row r="403" spans="8:16" ht="15" x14ac:dyDescent="0.25">
      <c r="H403" s="50"/>
      <c r="I403" s="50"/>
      <c r="J403" s="50"/>
      <c r="K403" s="51"/>
      <c r="L403" s="51"/>
      <c r="M403" s="51"/>
      <c r="N403" s="51"/>
      <c r="O403" s="51"/>
      <c r="P403" s="51"/>
    </row>
    <row r="404" spans="8:16" ht="15" x14ac:dyDescent="0.25">
      <c r="H404" s="50"/>
      <c r="I404" s="50"/>
      <c r="J404" s="50"/>
      <c r="K404" s="51"/>
      <c r="L404" s="51"/>
      <c r="M404" s="51"/>
      <c r="N404" s="51"/>
      <c r="O404" s="51"/>
      <c r="P404" s="51"/>
    </row>
    <row r="405" spans="8:16" ht="15" x14ac:dyDescent="0.25">
      <c r="H405" s="50"/>
      <c r="I405" s="50"/>
      <c r="J405" s="50"/>
      <c r="K405" s="51"/>
      <c r="L405" s="51"/>
      <c r="M405" s="51"/>
      <c r="N405" s="51"/>
      <c r="O405" s="51"/>
      <c r="P405" s="51"/>
    </row>
    <row r="406" spans="8:16" ht="15" x14ac:dyDescent="0.25">
      <c r="H406" s="50"/>
      <c r="I406" s="50"/>
      <c r="J406" s="50"/>
      <c r="K406" s="51"/>
      <c r="L406" s="51"/>
      <c r="M406" s="51"/>
      <c r="N406" s="51"/>
      <c r="O406" s="51"/>
      <c r="P406" s="51"/>
    </row>
    <row r="407" spans="8:16" ht="15" x14ac:dyDescent="0.25">
      <c r="H407" s="50"/>
      <c r="I407" s="50"/>
      <c r="J407" s="50"/>
      <c r="K407" s="51"/>
      <c r="L407" s="51"/>
      <c r="M407" s="51"/>
      <c r="N407" s="51"/>
      <c r="O407" s="51"/>
      <c r="P407" s="51"/>
    </row>
    <row r="408" spans="8:16" ht="15" x14ac:dyDescent="0.25">
      <c r="H408" s="50"/>
      <c r="I408" s="50"/>
      <c r="J408" s="50"/>
      <c r="K408" s="51"/>
      <c r="L408" s="51"/>
      <c r="M408" s="51"/>
      <c r="N408" s="51"/>
      <c r="O408" s="51"/>
      <c r="P408" s="51"/>
    </row>
    <row r="409" spans="8:16" ht="15" x14ac:dyDescent="0.25">
      <c r="H409" s="50"/>
      <c r="I409" s="50"/>
      <c r="J409" s="50"/>
      <c r="K409" s="51"/>
      <c r="L409" s="51"/>
      <c r="M409" s="51"/>
      <c r="N409" s="51"/>
      <c r="O409" s="51"/>
      <c r="P409" s="51"/>
    </row>
    <row r="410" spans="8:16" ht="15" x14ac:dyDescent="0.25">
      <c r="H410" s="50"/>
      <c r="I410" s="50"/>
      <c r="J410" s="50"/>
      <c r="K410" s="51"/>
      <c r="L410" s="51"/>
      <c r="M410" s="51"/>
      <c r="N410" s="51"/>
      <c r="O410" s="51"/>
      <c r="P410" s="51"/>
    </row>
    <row r="411" spans="8:16" ht="15" x14ac:dyDescent="0.25">
      <c r="H411" s="50"/>
      <c r="I411" s="50"/>
      <c r="J411" s="50"/>
      <c r="K411" s="51"/>
      <c r="L411" s="51"/>
      <c r="M411" s="51"/>
      <c r="N411" s="51"/>
      <c r="O411" s="51"/>
      <c r="P411" s="51"/>
    </row>
    <row r="412" spans="8:16" ht="15" x14ac:dyDescent="0.25">
      <c r="H412" s="50"/>
      <c r="I412" s="50"/>
      <c r="J412" s="50"/>
      <c r="K412" s="51"/>
      <c r="L412" s="51"/>
      <c r="M412" s="51"/>
      <c r="N412" s="51"/>
      <c r="O412" s="51"/>
      <c r="P412" s="51"/>
    </row>
    <row r="413" spans="8:16" ht="15" x14ac:dyDescent="0.25">
      <c r="H413" s="50"/>
      <c r="I413" s="50"/>
      <c r="J413" s="50"/>
      <c r="K413" s="51"/>
      <c r="L413" s="51"/>
      <c r="M413" s="51"/>
      <c r="N413" s="51"/>
      <c r="O413" s="51"/>
      <c r="P413" s="51"/>
    </row>
    <row r="414" spans="8:16" ht="15" x14ac:dyDescent="0.25">
      <c r="H414" s="50"/>
      <c r="I414" s="50"/>
      <c r="J414" s="50"/>
      <c r="K414" s="51"/>
      <c r="L414" s="51"/>
      <c r="M414" s="51"/>
      <c r="N414" s="51"/>
      <c r="O414" s="51"/>
      <c r="P414" s="51"/>
    </row>
    <row r="415" spans="8:16" ht="15" x14ac:dyDescent="0.25">
      <c r="H415" s="50"/>
      <c r="I415" s="50"/>
      <c r="J415" s="50"/>
      <c r="K415" s="51"/>
      <c r="L415" s="51"/>
      <c r="M415" s="51"/>
      <c r="N415" s="51"/>
      <c r="O415" s="51"/>
      <c r="P415" s="51"/>
    </row>
    <row r="416" spans="8:16" ht="15" x14ac:dyDescent="0.25">
      <c r="H416" s="50"/>
      <c r="I416" s="50"/>
      <c r="J416" s="50"/>
      <c r="K416" s="51"/>
      <c r="L416" s="51"/>
      <c r="M416" s="51"/>
      <c r="N416" s="51"/>
      <c r="O416" s="51"/>
      <c r="P416" s="51"/>
    </row>
    <row r="417" spans="8:16" ht="15" x14ac:dyDescent="0.25">
      <c r="H417" s="50"/>
      <c r="I417" s="50"/>
      <c r="J417" s="50"/>
      <c r="K417" s="51"/>
      <c r="L417" s="51"/>
      <c r="M417" s="51"/>
      <c r="N417" s="51"/>
      <c r="O417" s="51"/>
      <c r="P417" s="51"/>
    </row>
    <row r="418" spans="8:16" ht="15" x14ac:dyDescent="0.25">
      <c r="H418" s="50"/>
      <c r="I418" s="50"/>
      <c r="J418" s="50"/>
      <c r="K418" s="51"/>
      <c r="L418" s="51"/>
      <c r="M418" s="51"/>
      <c r="N418" s="51"/>
      <c r="O418" s="51"/>
      <c r="P418" s="51"/>
    </row>
    <row r="419" spans="8:16" ht="15" x14ac:dyDescent="0.25">
      <c r="H419" s="50"/>
      <c r="I419" s="50"/>
      <c r="J419" s="50"/>
      <c r="K419" s="51"/>
      <c r="L419" s="51"/>
      <c r="M419" s="51"/>
      <c r="N419" s="51"/>
      <c r="O419" s="51"/>
      <c r="P419" s="51"/>
    </row>
    <row r="420" spans="8:16" ht="15" x14ac:dyDescent="0.25">
      <c r="H420" s="50"/>
      <c r="I420" s="50"/>
      <c r="J420" s="50"/>
      <c r="K420" s="51"/>
      <c r="L420" s="51"/>
      <c r="M420" s="51"/>
      <c r="N420" s="51"/>
      <c r="O420" s="51"/>
      <c r="P420" s="51"/>
    </row>
    <row r="421" spans="8:16" ht="15" x14ac:dyDescent="0.25">
      <c r="H421" s="50"/>
      <c r="I421" s="50"/>
      <c r="J421" s="50"/>
      <c r="K421" s="51"/>
      <c r="L421" s="51"/>
      <c r="M421" s="51"/>
      <c r="N421" s="51"/>
      <c r="O421" s="51"/>
      <c r="P421" s="51"/>
    </row>
    <row r="422" spans="8:16" ht="15" x14ac:dyDescent="0.25">
      <c r="H422" s="50"/>
      <c r="I422" s="50"/>
      <c r="J422" s="50"/>
      <c r="K422" s="51"/>
      <c r="L422" s="51"/>
      <c r="M422" s="51"/>
      <c r="N422" s="51"/>
      <c r="O422" s="51"/>
      <c r="P422" s="51"/>
    </row>
    <row r="423" spans="8:16" ht="15" x14ac:dyDescent="0.25">
      <c r="H423" s="50"/>
      <c r="I423" s="50"/>
      <c r="J423" s="50"/>
      <c r="K423" s="51"/>
      <c r="L423" s="51"/>
      <c r="M423" s="51"/>
      <c r="N423" s="51"/>
      <c r="O423" s="51"/>
      <c r="P423" s="51"/>
    </row>
    <row r="424" spans="8:16" ht="15" x14ac:dyDescent="0.25">
      <c r="H424" s="50"/>
      <c r="I424" s="50"/>
      <c r="J424" s="50"/>
      <c r="K424" s="51"/>
      <c r="L424" s="51"/>
      <c r="M424" s="51"/>
      <c r="N424" s="51"/>
      <c r="O424" s="51"/>
      <c r="P424" s="51"/>
    </row>
    <row r="425" spans="8:16" ht="15" x14ac:dyDescent="0.25">
      <c r="H425" s="50"/>
      <c r="I425" s="50"/>
      <c r="J425" s="50"/>
      <c r="K425" s="51"/>
      <c r="L425" s="51"/>
      <c r="M425" s="51"/>
      <c r="N425" s="51"/>
      <c r="O425" s="51"/>
      <c r="P425" s="51"/>
    </row>
    <row r="426" spans="8:16" ht="15" x14ac:dyDescent="0.25">
      <c r="H426" s="50"/>
      <c r="I426" s="50"/>
      <c r="J426" s="50"/>
      <c r="K426" s="51"/>
      <c r="L426" s="51"/>
      <c r="M426" s="51"/>
      <c r="N426" s="51"/>
      <c r="O426" s="51"/>
      <c r="P426" s="51"/>
    </row>
    <row r="427" spans="8:16" ht="15" x14ac:dyDescent="0.25">
      <c r="H427" s="50"/>
      <c r="I427" s="50"/>
      <c r="J427" s="50"/>
      <c r="K427" s="51"/>
      <c r="L427" s="51"/>
      <c r="M427" s="51"/>
      <c r="N427" s="51"/>
      <c r="O427" s="51"/>
      <c r="P427" s="51"/>
    </row>
    <row r="428" spans="8:16" ht="15" x14ac:dyDescent="0.25">
      <c r="H428" s="50"/>
      <c r="I428" s="50"/>
      <c r="J428" s="50"/>
      <c r="K428" s="51"/>
      <c r="L428" s="51"/>
      <c r="M428" s="51"/>
      <c r="N428" s="51"/>
      <c r="O428" s="51"/>
      <c r="P428" s="51"/>
    </row>
    <row r="429" spans="8:16" ht="15" x14ac:dyDescent="0.25">
      <c r="H429" s="50"/>
      <c r="I429" s="50"/>
      <c r="J429" s="50"/>
      <c r="K429" s="51"/>
      <c r="L429" s="51"/>
      <c r="M429" s="51"/>
      <c r="N429" s="51"/>
      <c r="O429" s="51"/>
      <c r="P429" s="51"/>
    </row>
    <row r="430" spans="8:16" ht="15" x14ac:dyDescent="0.25">
      <c r="H430" s="50"/>
      <c r="I430" s="50"/>
      <c r="J430" s="50"/>
      <c r="K430" s="51"/>
      <c r="L430" s="51"/>
      <c r="M430" s="51"/>
      <c r="N430" s="51"/>
      <c r="O430" s="51"/>
      <c r="P430" s="51"/>
    </row>
    <row r="431" spans="8:16" ht="15" x14ac:dyDescent="0.25">
      <c r="H431" s="50"/>
      <c r="I431" s="50"/>
      <c r="J431" s="50"/>
      <c r="K431" s="51"/>
      <c r="L431" s="51"/>
      <c r="M431" s="51"/>
      <c r="N431" s="51"/>
      <c r="O431" s="51"/>
      <c r="P431" s="51"/>
    </row>
    <row r="432" spans="8:16" ht="15" x14ac:dyDescent="0.25">
      <c r="H432" s="50"/>
      <c r="I432" s="50"/>
      <c r="J432" s="50"/>
      <c r="K432" s="51"/>
      <c r="L432" s="51"/>
      <c r="M432" s="51"/>
      <c r="N432" s="51"/>
      <c r="O432" s="51"/>
      <c r="P432" s="51"/>
    </row>
    <row r="433" spans="8:16" ht="15" x14ac:dyDescent="0.25">
      <c r="H433" s="50"/>
      <c r="I433" s="50"/>
      <c r="J433" s="50"/>
      <c r="K433" s="51"/>
      <c r="L433" s="51"/>
      <c r="M433" s="51"/>
      <c r="N433" s="51"/>
      <c r="O433" s="51"/>
      <c r="P433" s="51"/>
    </row>
    <row r="434" spans="8:16" ht="15" x14ac:dyDescent="0.25">
      <c r="H434" s="50"/>
      <c r="I434" s="50"/>
      <c r="J434" s="50"/>
      <c r="K434" s="51"/>
      <c r="L434" s="51"/>
      <c r="M434" s="51"/>
      <c r="N434" s="51"/>
      <c r="O434" s="51"/>
      <c r="P434" s="51"/>
    </row>
    <row r="435" spans="8:16" ht="15" x14ac:dyDescent="0.25">
      <c r="H435" s="50"/>
      <c r="I435" s="50"/>
      <c r="J435" s="50"/>
      <c r="K435" s="51"/>
      <c r="L435" s="51"/>
      <c r="M435" s="51"/>
      <c r="N435" s="51"/>
      <c r="O435" s="51"/>
      <c r="P435" s="51"/>
    </row>
    <row r="436" spans="8:16" ht="15" x14ac:dyDescent="0.25">
      <c r="H436" s="50"/>
      <c r="I436" s="50"/>
      <c r="J436" s="50"/>
      <c r="K436" s="51"/>
      <c r="L436" s="51"/>
      <c r="M436" s="51"/>
      <c r="N436" s="51"/>
      <c r="O436" s="51"/>
      <c r="P436" s="51"/>
    </row>
    <row r="437" spans="8:16" ht="15" x14ac:dyDescent="0.25">
      <c r="H437" s="50"/>
      <c r="I437" s="50"/>
      <c r="J437" s="50"/>
      <c r="K437" s="51"/>
      <c r="L437" s="51"/>
      <c r="M437" s="51"/>
      <c r="N437" s="51"/>
      <c r="O437" s="51"/>
      <c r="P437" s="51"/>
    </row>
    <row r="438" spans="8:16" ht="15" x14ac:dyDescent="0.25">
      <c r="H438" s="50"/>
      <c r="I438" s="50"/>
      <c r="J438" s="50"/>
      <c r="K438" s="51"/>
      <c r="L438" s="51"/>
      <c r="M438" s="51"/>
      <c r="N438" s="51"/>
      <c r="O438" s="51"/>
      <c r="P438" s="51"/>
    </row>
    <row r="439" spans="8:16" ht="15" x14ac:dyDescent="0.25">
      <c r="H439" s="50"/>
      <c r="I439" s="50"/>
      <c r="J439" s="50"/>
      <c r="K439" s="51"/>
      <c r="L439" s="51"/>
      <c r="M439" s="51"/>
      <c r="N439" s="51"/>
      <c r="O439" s="51"/>
      <c r="P439" s="51"/>
    </row>
    <row r="440" spans="8:16" ht="15" x14ac:dyDescent="0.25">
      <c r="H440" s="50"/>
      <c r="I440" s="50"/>
      <c r="J440" s="50"/>
      <c r="K440" s="51"/>
      <c r="L440" s="51"/>
      <c r="M440" s="51"/>
      <c r="N440" s="51"/>
      <c r="O440" s="51"/>
      <c r="P440" s="51"/>
    </row>
    <row r="441" spans="8:16" ht="15" x14ac:dyDescent="0.25">
      <c r="H441" s="50"/>
      <c r="I441" s="50"/>
      <c r="J441" s="50"/>
      <c r="K441" s="51"/>
      <c r="L441" s="51"/>
      <c r="M441" s="51"/>
      <c r="N441" s="51"/>
      <c r="O441" s="51"/>
      <c r="P441" s="51"/>
    </row>
    <row r="442" spans="8:16" ht="15" x14ac:dyDescent="0.25">
      <c r="H442" s="50"/>
      <c r="I442" s="50"/>
      <c r="J442" s="50"/>
      <c r="K442" s="51"/>
      <c r="L442" s="51"/>
      <c r="M442" s="51"/>
      <c r="N442" s="51"/>
      <c r="O442" s="51"/>
      <c r="P442" s="51"/>
    </row>
    <row r="443" spans="8:16" ht="15" x14ac:dyDescent="0.25">
      <c r="H443" s="50"/>
      <c r="I443" s="50"/>
      <c r="J443" s="50"/>
      <c r="K443" s="51"/>
      <c r="L443" s="51"/>
      <c r="M443" s="51"/>
      <c r="N443" s="51"/>
      <c r="O443" s="51"/>
      <c r="P443" s="51"/>
    </row>
    <row r="444" spans="8:16" ht="15" x14ac:dyDescent="0.25">
      <c r="H444" s="50"/>
      <c r="I444" s="50"/>
      <c r="J444" s="50"/>
      <c r="K444" s="51"/>
      <c r="L444" s="51"/>
      <c r="M444" s="51"/>
      <c r="N444" s="51"/>
      <c r="O444" s="51"/>
      <c r="P444" s="51"/>
    </row>
    <row r="445" spans="8:16" ht="15" x14ac:dyDescent="0.25">
      <c r="H445" s="50"/>
      <c r="I445" s="50"/>
      <c r="J445" s="50"/>
      <c r="K445" s="51"/>
      <c r="L445" s="51"/>
      <c r="M445" s="51"/>
      <c r="N445" s="51"/>
      <c r="O445" s="51"/>
      <c r="P445" s="51"/>
    </row>
    <row r="446" spans="8:16" ht="15" x14ac:dyDescent="0.25">
      <c r="H446" s="50"/>
      <c r="I446" s="50"/>
      <c r="J446" s="50"/>
      <c r="K446" s="51"/>
      <c r="L446" s="51"/>
      <c r="M446" s="51"/>
      <c r="N446" s="51"/>
      <c r="O446" s="51"/>
      <c r="P446" s="51"/>
    </row>
    <row r="447" spans="8:16" ht="15" x14ac:dyDescent="0.25">
      <c r="H447" s="50"/>
      <c r="I447" s="50"/>
      <c r="J447" s="50"/>
      <c r="K447" s="51"/>
      <c r="L447" s="51"/>
      <c r="M447" s="51"/>
      <c r="N447" s="51"/>
      <c r="O447" s="51"/>
      <c r="P447" s="51"/>
    </row>
    <row r="448" spans="8:16" ht="15" x14ac:dyDescent="0.25">
      <c r="H448" s="50"/>
      <c r="I448" s="50"/>
      <c r="J448" s="50"/>
      <c r="K448" s="51"/>
      <c r="L448" s="51"/>
      <c r="M448" s="51"/>
      <c r="N448" s="51"/>
      <c r="O448" s="51"/>
      <c r="P448" s="51"/>
    </row>
    <row r="449" spans="8:16" ht="15" x14ac:dyDescent="0.25">
      <c r="H449" s="50"/>
      <c r="I449" s="50"/>
      <c r="J449" s="50"/>
      <c r="K449" s="51"/>
      <c r="L449" s="51"/>
      <c r="M449" s="51"/>
      <c r="N449" s="51"/>
      <c r="O449" s="51"/>
      <c r="P449" s="51"/>
    </row>
    <row r="450" spans="8:16" ht="15" x14ac:dyDescent="0.25">
      <c r="H450" s="50"/>
      <c r="I450" s="50"/>
      <c r="J450" s="50"/>
      <c r="K450" s="51"/>
      <c r="L450" s="51"/>
      <c r="M450" s="51"/>
      <c r="N450" s="51"/>
      <c r="O450" s="51"/>
      <c r="P450" s="51"/>
    </row>
    <row r="451" spans="8:16" ht="15" x14ac:dyDescent="0.25">
      <c r="H451" s="50"/>
      <c r="I451" s="50"/>
      <c r="J451" s="50"/>
      <c r="K451" s="51"/>
      <c r="L451" s="51"/>
      <c r="M451" s="51"/>
      <c r="N451" s="51"/>
      <c r="O451" s="51"/>
      <c r="P451" s="51"/>
    </row>
    <row r="452" spans="8:16" ht="15" x14ac:dyDescent="0.25">
      <c r="H452" s="50"/>
      <c r="I452" s="50"/>
      <c r="J452" s="50"/>
      <c r="K452" s="51"/>
      <c r="L452" s="51"/>
      <c r="M452" s="51"/>
      <c r="N452" s="51"/>
      <c r="O452" s="51"/>
      <c r="P452" s="51"/>
    </row>
    <row r="453" spans="8:16" ht="15" x14ac:dyDescent="0.25">
      <c r="H453" s="50"/>
      <c r="I453" s="50"/>
      <c r="J453" s="50"/>
      <c r="K453" s="51"/>
      <c r="L453" s="51"/>
      <c r="M453" s="51"/>
      <c r="N453" s="51"/>
      <c r="O453" s="51"/>
      <c r="P453" s="51"/>
    </row>
    <row r="454" spans="8:16" ht="15" x14ac:dyDescent="0.25">
      <c r="H454" s="50"/>
      <c r="I454" s="50"/>
      <c r="J454" s="50"/>
      <c r="K454" s="51"/>
      <c r="L454" s="51"/>
      <c r="M454" s="51"/>
      <c r="N454" s="51"/>
      <c r="O454" s="51"/>
      <c r="P454" s="51"/>
    </row>
    <row r="455" spans="8:16" ht="15" x14ac:dyDescent="0.25">
      <c r="H455" s="50"/>
      <c r="I455" s="50"/>
      <c r="J455" s="50"/>
      <c r="K455" s="51"/>
      <c r="L455" s="51"/>
      <c r="M455" s="51"/>
      <c r="N455" s="51"/>
      <c r="O455" s="51"/>
      <c r="P455" s="51"/>
    </row>
    <row r="456" spans="8:16" ht="15" x14ac:dyDescent="0.25">
      <c r="H456" s="50"/>
      <c r="I456" s="50"/>
      <c r="J456" s="50"/>
      <c r="K456" s="51"/>
      <c r="L456" s="51"/>
      <c r="M456" s="51"/>
      <c r="N456" s="51"/>
      <c r="O456" s="51"/>
      <c r="P456" s="51"/>
    </row>
    <row r="457" spans="8:16" ht="15" x14ac:dyDescent="0.25">
      <c r="H457" s="50"/>
      <c r="I457" s="50"/>
      <c r="J457" s="50"/>
      <c r="K457" s="51"/>
      <c r="L457" s="51"/>
      <c r="M457" s="51"/>
      <c r="N457" s="51"/>
      <c r="O457" s="51"/>
      <c r="P457" s="51"/>
    </row>
    <row r="458" spans="8:16" ht="15" x14ac:dyDescent="0.25">
      <c r="H458" s="50"/>
      <c r="I458" s="50"/>
      <c r="J458" s="50"/>
      <c r="K458" s="51"/>
      <c r="L458" s="51"/>
      <c r="M458" s="51"/>
      <c r="N458" s="51"/>
      <c r="O458" s="51"/>
      <c r="P458" s="51"/>
    </row>
    <row r="459" spans="8:16" ht="15" x14ac:dyDescent="0.25">
      <c r="H459" s="50"/>
      <c r="I459" s="50"/>
      <c r="J459" s="50"/>
      <c r="K459" s="51"/>
      <c r="L459" s="51"/>
      <c r="M459" s="51"/>
      <c r="N459" s="51"/>
      <c r="O459" s="51"/>
      <c r="P459" s="51"/>
    </row>
    <row r="460" spans="8:16" ht="15" x14ac:dyDescent="0.25">
      <c r="H460" s="50"/>
      <c r="I460" s="50"/>
      <c r="J460" s="50"/>
      <c r="K460" s="51"/>
      <c r="L460" s="51"/>
      <c r="M460" s="51"/>
      <c r="N460" s="51"/>
      <c r="O460" s="51"/>
      <c r="P460" s="51"/>
    </row>
    <row r="461" spans="8:16" ht="15" x14ac:dyDescent="0.25">
      <c r="H461" s="50"/>
      <c r="I461" s="50"/>
      <c r="J461" s="50"/>
      <c r="K461" s="51"/>
      <c r="L461" s="51"/>
      <c r="M461" s="51"/>
      <c r="N461" s="51"/>
      <c r="O461" s="51"/>
      <c r="P461" s="51"/>
    </row>
    <row r="462" spans="8:16" ht="15" x14ac:dyDescent="0.25">
      <c r="H462" s="50"/>
      <c r="I462" s="50"/>
      <c r="J462" s="50"/>
      <c r="K462" s="51"/>
      <c r="L462" s="51"/>
      <c r="M462" s="51"/>
      <c r="N462" s="51"/>
      <c r="O462" s="51"/>
      <c r="P462" s="51"/>
    </row>
    <row r="463" spans="8:16" ht="15" x14ac:dyDescent="0.25">
      <c r="H463" s="50"/>
      <c r="I463" s="50"/>
      <c r="J463" s="50"/>
      <c r="K463" s="51"/>
      <c r="L463" s="51"/>
      <c r="M463" s="51"/>
      <c r="N463" s="51"/>
      <c r="O463" s="51"/>
      <c r="P463" s="51"/>
    </row>
    <row r="464" spans="8:16" ht="15" x14ac:dyDescent="0.25">
      <c r="H464" s="50"/>
      <c r="I464" s="50"/>
      <c r="J464" s="50"/>
      <c r="K464" s="51"/>
      <c r="L464" s="51"/>
      <c r="M464" s="51"/>
      <c r="N464" s="51"/>
      <c r="O464" s="51"/>
      <c r="P464" s="51"/>
    </row>
  </sheetData>
  <mergeCells count="27">
    <mergeCell ref="T88:U88"/>
    <mergeCell ref="S43:U44"/>
    <mergeCell ref="S49:T50"/>
    <mergeCell ref="V57:V58"/>
    <mergeCell ref="W57:W58"/>
    <mergeCell ref="Z57:Z58"/>
    <mergeCell ref="U65:U66"/>
    <mergeCell ref="V65:W66"/>
    <mergeCell ref="W36:X36"/>
    <mergeCell ref="Z36:Z38"/>
    <mergeCell ref="S14:AA15"/>
    <mergeCell ref="AA36:AA38"/>
    <mergeCell ref="W37:X38"/>
    <mergeCell ref="E40:F41"/>
    <mergeCell ref="S40:AA41"/>
    <mergeCell ref="S20:U21"/>
    <mergeCell ref="S27:T28"/>
    <mergeCell ref="W30:X31"/>
    <mergeCell ref="W32:X32"/>
    <mergeCell ref="Z32:Z34"/>
    <mergeCell ref="AA32:AA34"/>
    <mergeCell ref="W33:X34"/>
    <mergeCell ref="C16:D17"/>
    <mergeCell ref="B3:K3"/>
    <mergeCell ref="B4:K4"/>
    <mergeCell ref="C8:M9"/>
    <mergeCell ref="H12:P12"/>
  </mergeCells>
  <conditionalFormatting sqref="L18:L317">
    <cfRule type="dataBar" priority="6">
      <dataBar>
        <cfvo type="min"/>
        <cfvo type="max"/>
        <color rgb="FFFF555A"/>
      </dataBar>
    </cfRule>
  </conditionalFormatting>
  <conditionalFormatting sqref="L18:L317">
    <cfRule type="dataBar" priority="5">
      <dataBar>
        <cfvo type="min"/>
        <cfvo type="max"/>
        <color theme="5" tint="0.59999389629810485"/>
      </dataBar>
    </cfRule>
  </conditionalFormatting>
  <conditionalFormatting sqref="L18:L317">
    <cfRule type="dataBar" priority="4">
      <dataBar>
        <cfvo type="min"/>
        <cfvo type="max"/>
        <color theme="5" tint="0.39997558519241921"/>
      </dataBar>
    </cfRule>
  </conditionalFormatting>
  <conditionalFormatting sqref="M18:M317">
    <cfRule type="dataBar" priority="3">
      <dataBar>
        <cfvo type="min"/>
        <cfvo type="max"/>
        <color rgb="FF63C384"/>
      </dataBar>
    </cfRule>
  </conditionalFormatting>
  <conditionalFormatting sqref="M18:M317">
    <cfRule type="dataBar" priority="2">
      <dataBar>
        <cfvo type="min"/>
        <cfvo type="formula" val="$M$18&gt;$M$17"/>
        <color rgb="FF638EC6"/>
      </dataBar>
    </cfRule>
  </conditionalFormatting>
  <dataValidations count="4">
    <dataValidation type="list" allowBlank="1" showInputMessage="1" showErrorMessage="1" sqref="D23">
      <formula1>$C$67:$C$73</formula1>
    </dataValidation>
    <dataValidation type="list" allowBlank="1" showInputMessage="1" showErrorMessage="1" sqref="D20">
      <formula1>$C$48:$C$55</formula1>
    </dataValidation>
    <dataValidation type="list" allowBlank="1" showInputMessage="1" showErrorMessage="1" sqref="D19">
      <formula1>$C$48:$C$62</formula1>
    </dataValidation>
    <dataValidation type="list" allowBlank="1" showInputMessage="1" showErrorMessage="1" sqref="D21">
      <formula1>$C$64:$C$65</formula1>
    </dataValidation>
  </dataValidations>
  <hyperlinks>
    <hyperlink ref="C5" location="Índice!A1" display="Regresar"/>
  </hyperlinks>
  <pageMargins left="0.75" right="0.75" top="1" bottom="1" header="0" footer="0"/>
  <pageSetup paperSize="9" orientation="portrait" r:id="rId1"/>
  <headerFooter alignWithMargins="0"/>
  <drawing r:id="rId2"/>
  <legacyDrawing r:id="rId3"/>
  <oleObjects>
    <mc:AlternateContent xmlns:mc="http://schemas.openxmlformats.org/markup-compatibility/2006">
      <mc:Choice Requires="x14">
        <oleObject progId="Equation.3" shapeId="8193" r:id="rId4">
          <objectPr defaultSize="0" autoPict="0" r:id="rId5">
            <anchor moveWithCells="1">
              <from>
                <xdr:col>21</xdr:col>
                <xdr:colOff>219075</xdr:colOff>
                <xdr:row>17</xdr:row>
                <xdr:rowOff>161925</xdr:rowOff>
              </from>
              <to>
                <xdr:col>25</xdr:col>
                <xdr:colOff>676275</xdr:colOff>
                <xdr:row>24</xdr:row>
                <xdr:rowOff>28575</xdr:rowOff>
              </to>
            </anchor>
          </objectPr>
        </oleObject>
      </mc:Choice>
      <mc:Fallback>
        <oleObject progId="Equation.3" shapeId="8193" r:id="rId4"/>
      </mc:Fallback>
    </mc:AlternateContent>
  </oleObjec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A464"/>
  <sheetViews>
    <sheetView showGridLines="0" showRowColHeaders="0" zoomScale="75" workbookViewId="0">
      <selection activeCell="E1" sqref="E1"/>
    </sheetView>
  </sheetViews>
  <sheetFormatPr baseColWidth="10" defaultRowHeight="12.75" x14ac:dyDescent="0.2"/>
  <cols>
    <col min="1" max="2" width="4.7109375" style="41" customWidth="1"/>
    <col min="3" max="3" width="29.42578125" style="41" customWidth="1"/>
    <col min="4" max="4" width="24.5703125" style="41" customWidth="1"/>
    <col min="5" max="5" width="18.5703125" style="41" customWidth="1"/>
    <col min="6" max="6" width="14.140625" style="41" bestFit="1" customWidth="1"/>
    <col min="7" max="7" width="14.140625" style="41" customWidth="1"/>
    <col min="8" max="9" width="19.28515625" style="45" customWidth="1"/>
    <col min="10" max="10" width="22.7109375" style="45" customWidth="1"/>
    <col min="11" max="11" width="13.85546875" style="41" customWidth="1"/>
    <col min="12" max="12" width="14" style="41" customWidth="1"/>
    <col min="13" max="13" width="15.140625" style="41" customWidth="1"/>
    <col min="14" max="14" width="14" style="41" customWidth="1"/>
    <col min="15" max="15" width="6.85546875" style="41" customWidth="1"/>
    <col min="16" max="16" width="13.7109375" style="41" customWidth="1"/>
    <col min="17" max="19" width="11.42578125" style="41"/>
    <col min="20" max="21" width="12.140625" style="41" bestFit="1" customWidth="1"/>
    <col min="22" max="22" width="7.5703125" style="41" bestFit="1" customWidth="1"/>
    <col min="23" max="23" width="11.85546875" style="41" bestFit="1" customWidth="1"/>
    <col min="24" max="24" width="12.140625" style="41" bestFit="1" customWidth="1"/>
    <col min="25" max="25" width="6.42578125" style="41" customWidth="1"/>
    <col min="26" max="16384" width="11.42578125" style="41"/>
  </cols>
  <sheetData>
    <row r="1" spans="1:27" s="39" customFormat="1" ht="77.25" customHeight="1" x14ac:dyDescent="0.4">
      <c r="A1" s="38"/>
      <c r="B1" s="38"/>
      <c r="C1" s="38"/>
      <c r="D1" s="38"/>
      <c r="E1" s="130"/>
      <c r="F1" s="130"/>
      <c r="G1" s="130"/>
      <c r="H1" s="130"/>
      <c r="I1" s="130"/>
      <c r="J1" s="130"/>
      <c r="K1" s="130"/>
      <c r="L1" s="130"/>
      <c r="M1" s="130"/>
      <c r="N1" s="130"/>
      <c r="O1" s="130"/>
      <c r="P1" s="130"/>
      <c r="Q1" s="130"/>
      <c r="R1" s="130"/>
    </row>
    <row r="2" spans="1:27" ht="21" x14ac:dyDescent="0.35">
      <c r="A2" s="38"/>
      <c r="B2" s="38"/>
      <c r="C2" s="38"/>
      <c r="D2" s="38"/>
      <c r="E2" s="40"/>
      <c r="F2" s="40"/>
      <c r="G2" s="40"/>
      <c r="H2" s="40"/>
      <c r="I2" s="40"/>
      <c r="J2" s="40"/>
      <c r="K2" s="40"/>
      <c r="L2" s="40"/>
      <c r="M2" s="40"/>
      <c r="N2" s="40"/>
      <c r="O2" s="40"/>
      <c r="P2" s="40"/>
      <c r="Q2" s="40"/>
      <c r="R2" s="40"/>
    </row>
    <row r="3" spans="1:27" ht="28.5" x14ac:dyDescent="0.2">
      <c r="B3" s="161" t="s">
        <v>45</v>
      </c>
      <c r="C3" s="161"/>
      <c r="D3" s="161"/>
      <c r="E3" s="161"/>
      <c r="F3" s="161"/>
      <c r="G3" s="161"/>
      <c r="H3" s="161"/>
      <c r="I3" s="161"/>
      <c r="J3" s="161"/>
      <c r="K3" s="161"/>
      <c r="L3" s="148"/>
      <c r="M3" s="148"/>
      <c r="N3" s="148"/>
      <c r="O3" s="148"/>
      <c r="P3" s="148"/>
      <c r="Q3" s="42"/>
    </row>
    <row r="4" spans="1:27" ht="21" x14ac:dyDescent="0.2">
      <c r="B4" s="162" t="s">
        <v>64</v>
      </c>
      <c r="C4" s="162"/>
      <c r="D4" s="162"/>
      <c r="E4" s="162"/>
      <c r="F4" s="162"/>
      <c r="G4" s="162"/>
      <c r="H4" s="162"/>
      <c r="I4" s="162"/>
      <c r="J4" s="162"/>
      <c r="K4" s="162"/>
      <c r="L4" s="43"/>
      <c r="M4" s="43"/>
      <c r="N4" s="43"/>
      <c r="O4" s="43"/>
      <c r="P4" s="43"/>
      <c r="Q4" s="43"/>
    </row>
    <row r="5" spans="1:27" ht="21.75" customHeight="1" x14ac:dyDescent="0.2">
      <c r="C5" s="44" t="s">
        <v>65</v>
      </c>
    </row>
    <row r="7" spans="1:27" ht="13.5" thickBot="1" x14ac:dyDescent="0.25"/>
    <row r="8" spans="1:27" ht="36.75" customHeight="1" x14ac:dyDescent="0.2">
      <c r="C8" s="193" t="s">
        <v>113</v>
      </c>
      <c r="D8" s="194"/>
      <c r="E8" s="194"/>
      <c r="F8" s="194"/>
      <c r="G8" s="194"/>
      <c r="H8" s="194"/>
      <c r="I8" s="194"/>
      <c r="J8" s="194"/>
      <c r="K8" s="194"/>
      <c r="L8" s="194"/>
      <c r="M8" s="195"/>
    </row>
    <row r="9" spans="1:27" ht="36.75" customHeight="1" thickBot="1" x14ac:dyDescent="0.25">
      <c r="C9" s="196"/>
      <c r="D9" s="197"/>
      <c r="E9" s="197"/>
      <c r="F9" s="197"/>
      <c r="G9" s="197"/>
      <c r="H9" s="197"/>
      <c r="I9" s="197"/>
      <c r="J9" s="197"/>
      <c r="K9" s="197"/>
      <c r="L9" s="197"/>
      <c r="M9" s="198"/>
    </row>
    <row r="12" spans="1:27" ht="21" x14ac:dyDescent="0.35">
      <c r="H12" s="178" t="str">
        <f>CONCATENATE("Tablas de amortización"," ",credito)</f>
        <v>Tablas de amortización Francesa</v>
      </c>
      <c r="I12" s="178"/>
      <c r="J12" s="178"/>
      <c r="K12" s="178"/>
      <c r="L12" s="178"/>
      <c r="M12" s="178"/>
      <c r="N12" s="178"/>
      <c r="O12" s="178"/>
      <c r="P12" s="178"/>
    </row>
    <row r="13" spans="1:27" ht="21.75" thickBot="1" x14ac:dyDescent="0.4">
      <c r="H13" s="102"/>
      <c r="I13" s="102"/>
      <c r="J13" s="102"/>
      <c r="K13" s="102"/>
      <c r="L13" s="102"/>
      <c r="M13" s="102"/>
      <c r="N13" s="102"/>
      <c r="O13" s="102"/>
      <c r="P13" s="102"/>
    </row>
    <row r="14" spans="1:27" ht="30" x14ac:dyDescent="0.35">
      <c r="H14" s="91"/>
      <c r="I14" s="91"/>
      <c r="J14" s="91"/>
      <c r="K14" s="104" t="s">
        <v>83</v>
      </c>
      <c r="L14" s="104" t="s">
        <v>84</v>
      </c>
      <c r="M14" s="104" t="s">
        <v>85</v>
      </c>
      <c r="N14" s="91"/>
      <c r="O14" s="91"/>
      <c r="P14" s="91"/>
      <c r="S14" s="151" t="s">
        <v>91</v>
      </c>
      <c r="T14" s="151"/>
      <c r="U14" s="151"/>
      <c r="V14" s="151"/>
      <c r="W14" s="151"/>
      <c r="X14" s="151"/>
      <c r="Y14" s="151"/>
      <c r="Z14" s="151"/>
      <c r="AA14" s="151"/>
    </row>
    <row r="15" spans="1:27" ht="21.75" thickBot="1" x14ac:dyDescent="0.4">
      <c r="H15" s="90"/>
      <c r="I15" s="90"/>
      <c r="J15" s="90"/>
      <c r="K15" s="103">
        <f>SUM(K18:K317)</f>
        <v>14366.040684629881</v>
      </c>
      <c r="L15" s="103">
        <f>SUM(L18:L317)</f>
        <v>1866.0406846298824</v>
      </c>
      <c r="M15" s="103">
        <f>K15-L15</f>
        <v>12499.999999999998</v>
      </c>
      <c r="O15" s="91"/>
      <c r="P15" s="91"/>
      <c r="S15" s="152"/>
      <c r="T15" s="152"/>
      <c r="U15" s="152"/>
      <c r="V15" s="152"/>
      <c r="W15" s="152"/>
      <c r="X15" s="152"/>
      <c r="Y15" s="152"/>
      <c r="Z15" s="152"/>
      <c r="AA15" s="152"/>
    </row>
    <row r="16" spans="1:27" ht="15.75" customHeight="1" thickBot="1" x14ac:dyDescent="0.3">
      <c r="C16" s="170" t="s">
        <v>46</v>
      </c>
      <c r="D16" s="171"/>
      <c r="E16" s="46"/>
      <c r="F16" s="46"/>
      <c r="G16" s="46"/>
      <c r="H16" s="47" t="s">
        <v>5</v>
      </c>
      <c r="I16" s="48" t="s">
        <v>106</v>
      </c>
      <c r="J16" s="48" t="s">
        <v>107</v>
      </c>
      <c r="K16" s="48" t="s">
        <v>3</v>
      </c>
      <c r="L16" s="48" t="s">
        <v>6</v>
      </c>
      <c r="M16" s="48" t="s">
        <v>7</v>
      </c>
      <c r="N16" s="136" t="s">
        <v>8</v>
      </c>
      <c r="O16" s="135"/>
      <c r="P16" s="137" t="s">
        <v>10</v>
      </c>
      <c r="Q16" s="118"/>
    </row>
    <row r="17" spans="1:27" ht="15.75" thickBot="1" x14ac:dyDescent="0.3">
      <c r="C17" s="172"/>
      <c r="D17" s="173"/>
      <c r="E17" s="46"/>
      <c r="F17" s="46"/>
      <c r="G17" s="46"/>
      <c r="H17" s="50">
        <v>0</v>
      </c>
      <c r="I17" s="51">
        <f>+N17*D37</f>
        <v>2500</v>
      </c>
      <c r="J17" s="106">
        <f>+I17</f>
        <v>2500</v>
      </c>
      <c r="K17" s="51"/>
      <c r="L17" s="51"/>
      <c r="M17" s="51"/>
      <c r="N17" s="51">
        <f>+D26</f>
        <v>12500</v>
      </c>
      <c r="O17" s="51"/>
      <c r="P17" s="51">
        <f>+N17</f>
        <v>12500</v>
      </c>
      <c r="S17" s="52" t="s">
        <v>56</v>
      </c>
      <c r="T17" s="53"/>
      <c r="U17" s="54">
        <f>+D33</f>
        <v>12</v>
      </c>
    </row>
    <row r="18" spans="1:27" ht="15" x14ac:dyDescent="0.25">
      <c r="C18" s="49"/>
      <c r="D18" s="55"/>
      <c r="E18" s="46"/>
      <c r="F18" s="46"/>
      <c r="G18" s="46"/>
      <c r="H18" s="56">
        <v>1</v>
      </c>
      <c r="I18" s="57"/>
      <c r="J18" s="57"/>
      <c r="K18" s="57">
        <f>IF(credito="Francesa",-PMT(D28/$D$24,$U$17,D26,0),IF(credito="Alemana",L18+M18))</f>
        <v>1197.1700570524902</v>
      </c>
      <c r="L18" s="105">
        <f>N17*$D$28/$D$24</f>
        <v>276.04166666666669</v>
      </c>
      <c r="M18" s="105">
        <f>IF(H18&lt;=$U$17,IF(credito="Francesa",K18-L18,IF(credito="Alemana",N17/$U$17))," ")</f>
        <v>921.12839038582342</v>
      </c>
      <c r="N18" s="57">
        <f>IF(H18&lt;=$U$17,N17-M18," ")</f>
        <v>11578.871609614176</v>
      </c>
      <c r="O18" s="51"/>
      <c r="P18" s="57">
        <f>IFERROR(SUM(IF(H18&lt;=$U$17,-K18," "),J18)," ")</f>
        <v>-1197.1700570524902</v>
      </c>
    </row>
    <row r="19" spans="1:27" ht="15" x14ac:dyDescent="0.25">
      <c r="C19" s="80" t="s">
        <v>48</v>
      </c>
      <c r="D19" s="81" t="s">
        <v>51</v>
      </c>
      <c r="E19" s="46"/>
      <c r="F19" s="46"/>
      <c r="G19" s="46"/>
      <c r="H19" s="50">
        <f>IF($H18&gt;=$U$17," ",H18+1)</f>
        <v>2</v>
      </c>
      <c r="I19" s="51"/>
      <c r="J19" s="51"/>
      <c r="K19" s="51">
        <f t="shared" ref="K19:K82" si="0">IF(H18&lt;=$U$17,IF(credito="Francesa",IF(H19&lt;=$U$17,$K18,0),IF(credito="Alemana",IF(H19&lt;=$U$17,L19+M19,0))),"")</f>
        <v>1197.1700570524902</v>
      </c>
      <c r="L19" s="106">
        <f>IF(H19&lt;=$U$17,N18*$D$28/$D$24," ")</f>
        <v>255.70008137897972</v>
      </c>
      <c r="M19" s="106">
        <f t="shared" ref="M19:M82" si="1">IF(H19&lt;=$U$17,IF(credito="Francesa",K19-L19,IF(credito="Alemana",IF(H19&lt;=$U$17,$M18,0)))," ")</f>
        <v>941.46997567351048</v>
      </c>
      <c r="N19" s="51">
        <f t="shared" ref="N19:N82" si="2">IF(H19&lt;=$U$17,N18-M19," ")</f>
        <v>10637.401633940666</v>
      </c>
      <c r="O19" s="51"/>
      <c r="P19" s="51">
        <f t="shared" ref="P19:P82" si="3">IFERROR(SUM(IF(H19&lt;=$U$17,-K19," "),J19)," ")</f>
        <v>-1197.1700570524902</v>
      </c>
    </row>
    <row r="20" spans="1:27" ht="15" x14ac:dyDescent="0.25">
      <c r="C20" s="58"/>
      <c r="D20" s="55"/>
      <c r="E20" s="46"/>
      <c r="F20" s="46"/>
      <c r="G20" s="46"/>
      <c r="H20" s="50">
        <f t="shared" ref="H20:H83" si="4">IF($H19&gt;=$U$17," ",H19+1)</f>
        <v>3</v>
      </c>
      <c r="I20" s="51"/>
      <c r="J20" s="51"/>
      <c r="K20" s="51">
        <f t="shared" si="0"/>
        <v>1197.1700570524902</v>
      </c>
      <c r="L20" s="106">
        <f t="shared" ref="L20:L83" si="5">IF(H20&lt;=$U$17,N19*$D$28/$D$24," ")</f>
        <v>234.9092860828564</v>
      </c>
      <c r="M20" s="106">
        <f t="shared" si="1"/>
        <v>962.26077096963377</v>
      </c>
      <c r="N20" s="51">
        <f t="shared" si="2"/>
        <v>9675.1408629710331</v>
      </c>
      <c r="O20" s="51"/>
      <c r="P20" s="51">
        <f t="shared" si="3"/>
        <v>-1197.1700570524902</v>
      </c>
      <c r="S20" s="163" t="s">
        <v>86</v>
      </c>
      <c r="T20" s="163"/>
      <c r="U20" s="163"/>
    </row>
    <row r="21" spans="1:27" ht="15" x14ac:dyDescent="0.25">
      <c r="C21" s="80" t="s">
        <v>75</v>
      </c>
      <c r="D21" s="81" t="s">
        <v>63</v>
      </c>
      <c r="E21" s="46"/>
      <c r="F21" s="46"/>
      <c r="G21" s="46"/>
      <c r="H21" s="50">
        <f t="shared" si="4"/>
        <v>4</v>
      </c>
      <c r="I21" s="51"/>
      <c r="J21" s="51"/>
      <c r="K21" s="51">
        <f t="shared" si="0"/>
        <v>1197.1700570524902</v>
      </c>
      <c r="L21" s="106">
        <f t="shared" si="5"/>
        <v>213.65936072394368</v>
      </c>
      <c r="M21" s="106">
        <f t="shared" si="1"/>
        <v>983.51069632854649</v>
      </c>
      <c r="N21" s="51">
        <f t="shared" si="2"/>
        <v>8691.6301666424861</v>
      </c>
      <c r="O21" s="51"/>
      <c r="P21" s="51">
        <f t="shared" si="3"/>
        <v>-1197.1700570524902</v>
      </c>
      <c r="R21" s="62"/>
      <c r="S21" s="163"/>
      <c r="T21" s="163"/>
      <c r="U21" s="163"/>
    </row>
    <row r="22" spans="1:27" s="62" customFormat="1" ht="15" x14ac:dyDescent="0.25">
      <c r="A22" s="41"/>
      <c r="B22" s="41"/>
      <c r="C22" s="58"/>
      <c r="D22" s="55"/>
      <c r="E22" s="46"/>
      <c r="F22" s="46"/>
      <c r="G22" s="46"/>
      <c r="H22" s="50">
        <f t="shared" si="4"/>
        <v>5</v>
      </c>
      <c r="I22" s="51"/>
      <c r="J22" s="51"/>
      <c r="K22" s="51">
        <f t="shared" si="0"/>
        <v>1197.1700570524902</v>
      </c>
      <c r="L22" s="106">
        <f t="shared" si="5"/>
        <v>191.94016618002158</v>
      </c>
      <c r="M22" s="106">
        <f t="shared" si="1"/>
        <v>1005.2298908724686</v>
      </c>
      <c r="N22" s="51">
        <f t="shared" si="2"/>
        <v>7686.4002757700173</v>
      </c>
      <c r="O22" s="51"/>
      <c r="P22" s="51">
        <f t="shared" si="3"/>
        <v>-1197.1700570524902</v>
      </c>
      <c r="Q22" s="41"/>
      <c r="R22" s="41"/>
      <c r="S22" s="41"/>
    </row>
    <row r="23" spans="1:27" ht="15" x14ac:dyDescent="0.25">
      <c r="C23" s="80" t="s">
        <v>1</v>
      </c>
      <c r="D23" s="81" t="s">
        <v>77</v>
      </c>
      <c r="E23" s="46"/>
      <c r="F23" s="46"/>
      <c r="G23" s="46"/>
      <c r="H23" s="50">
        <f t="shared" si="4"/>
        <v>6</v>
      </c>
      <c r="I23" s="51"/>
      <c r="J23" s="51"/>
      <c r="K23" s="51">
        <f t="shared" si="0"/>
        <v>1197.1700570524902</v>
      </c>
      <c r="L23" s="106">
        <f t="shared" si="5"/>
        <v>169.74133942325457</v>
      </c>
      <c r="M23" s="106">
        <f t="shared" si="1"/>
        <v>1027.4287176292355</v>
      </c>
      <c r="N23" s="51">
        <f t="shared" si="2"/>
        <v>6658.9715581407818</v>
      </c>
      <c r="O23" s="51"/>
      <c r="P23" s="51">
        <f t="shared" si="3"/>
        <v>-1197.1700570524902</v>
      </c>
      <c r="R23" s="67"/>
      <c r="S23" s="67"/>
    </row>
    <row r="24" spans="1:27" s="67" customFormat="1" ht="15" x14ac:dyDescent="0.25">
      <c r="A24" s="41"/>
      <c r="B24" s="41"/>
      <c r="C24" s="80"/>
      <c r="D24" s="81">
        <f>IF(D23="Anual",1,IF(D23="Semestral",2,IF(D23="Cuatrimestral",3,IF(D23="Trimestral",4,IF(D23="Bimensual",6,IF(D23="Mensual",12,IF(D23="Quincenal",24)))))))</f>
        <v>12</v>
      </c>
      <c r="E24" s="46"/>
      <c r="F24" s="46"/>
      <c r="G24" s="46"/>
      <c r="H24" s="50">
        <f t="shared" si="4"/>
        <v>7</v>
      </c>
      <c r="I24" s="51"/>
      <c r="J24" s="51"/>
      <c r="K24" s="51">
        <f t="shared" si="0"/>
        <v>1197.1700570524902</v>
      </c>
      <c r="L24" s="106">
        <f t="shared" si="5"/>
        <v>147.05228857560894</v>
      </c>
      <c r="M24" s="106">
        <f t="shared" si="1"/>
        <v>1050.1177684768813</v>
      </c>
      <c r="N24" s="51">
        <f t="shared" si="2"/>
        <v>5608.8537896639009</v>
      </c>
      <c r="O24" s="51"/>
      <c r="P24" s="51">
        <f t="shared" si="3"/>
        <v>-1197.1700570524902</v>
      </c>
      <c r="Q24" s="41"/>
    </row>
    <row r="25" spans="1:27" s="67" customFormat="1" ht="15" x14ac:dyDescent="0.25">
      <c r="A25" s="41"/>
      <c r="B25" s="41"/>
      <c r="C25" s="58"/>
      <c r="D25" s="55"/>
      <c r="E25" s="46"/>
      <c r="F25" s="46"/>
      <c r="G25" s="46"/>
      <c r="H25" s="50">
        <f t="shared" si="4"/>
        <v>8</v>
      </c>
      <c r="I25" s="51"/>
      <c r="J25" s="51"/>
      <c r="K25" s="51">
        <f t="shared" si="0"/>
        <v>1197.1700570524902</v>
      </c>
      <c r="L25" s="106">
        <f t="shared" si="5"/>
        <v>123.86218785507782</v>
      </c>
      <c r="M25" s="106">
        <f t="shared" si="1"/>
        <v>1073.3078691974124</v>
      </c>
      <c r="N25" s="51">
        <f t="shared" si="2"/>
        <v>4535.5459204664885</v>
      </c>
      <c r="O25" s="51"/>
      <c r="P25" s="51">
        <f t="shared" si="3"/>
        <v>-1197.1700570524902</v>
      </c>
      <c r="Q25" s="41"/>
    </row>
    <row r="26" spans="1:27" s="67" customFormat="1" ht="15" x14ac:dyDescent="0.25">
      <c r="A26" s="41"/>
      <c r="B26" s="41"/>
      <c r="C26" s="96" t="s">
        <v>26</v>
      </c>
      <c r="D26" s="97">
        <v>12500</v>
      </c>
      <c r="E26" s="46"/>
      <c r="F26" s="46"/>
      <c r="G26" s="46"/>
      <c r="H26" s="50">
        <f t="shared" si="4"/>
        <v>9</v>
      </c>
      <c r="I26" s="51"/>
      <c r="J26" s="51"/>
      <c r="K26" s="51">
        <f t="shared" si="0"/>
        <v>1197.1700570524902</v>
      </c>
      <c r="L26" s="106">
        <f t="shared" si="5"/>
        <v>100.15997241030163</v>
      </c>
      <c r="M26" s="106">
        <f t="shared" si="1"/>
        <v>1097.0100846421885</v>
      </c>
      <c r="N26" s="51">
        <f t="shared" si="2"/>
        <v>3438.5358358243002</v>
      </c>
      <c r="O26" s="51"/>
      <c r="P26" s="51">
        <f t="shared" si="3"/>
        <v>-1197.1700570524902</v>
      </c>
      <c r="Q26" s="41"/>
      <c r="R26" s="41"/>
      <c r="S26" s="41"/>
    </row>
    <row r="27" spans="1:27" ht="15" x14ac:dyDescent="0.25">
      <c r="C27" s="98"/>
      <c r="D27" s="99"/>
      <c r="E27" s="46"/>
      <c r="F27" s="46"/>
      <c r="G27" s="46"/>
      <c r="H27" s="50">
        <f t="shared" si="4"/>
        <v>10</v>
      </c>
      <c r="I27" s="51"/>
      <c r="J27" s="51"/>
      <c r="K27" s="51">
        <f t="shared" si="0"/>
        <v>1197.1700570524902</v>
      </c>
      <c r="L27" s="106">
        <f t="shared" si="5"/>
        <v>75.93433304111997</v>
      </c>
      <c r="M27" s="106">
        <f t="shared" si="1"/>
        <v>1121.2357240113702</v>
      </c>
      <c r="N27" s="51">
        <f t="shared" si="2"/>
        <v>2317.30011181293</v>
      </c>
      <c r="O27" s="51"/>
      <c r="P27" s="51">
        <f t="shared" si="3"/>
        <v>-1197.1700570524902</v>
      </c>
      <c r="S27" s="164" t="s">
        <v>87</v>
      </c>
      <c r="T27" s="164"/>
    </row>
    <row r="28" spans="1:27" ht="15" x14ac:dyDescent="0.25">
      <c r="C28" s="100" t="s">
        <v>19</v>
      </c>
      <c r="D28" s="101">
        <v>0.26500000000000001</v>
      </c>
      <c r="E28" s="46"/>
      <c r="F28" s="46"/>
      <c r="G28" s="46"/>
      <c r="H28" s="50">
        <f t="shared" si="4"/>
        <v>11</v>
      </c>
      <c r="I28" s="51"/>
      <c r="J28" s="51"/>
      <c r="K28" s="51">
        <f t="shared" si="0"/>
        <v>1197.1700570524902</v>
      </c>
      <c r="L28" s="106">
        <f t="shared" si="5"/>
        <v>51.173710802535538</v>
      </c>
      <c r="M28" s="106">
        <f t="shared" si="1"/>
        <v>1145.9963462499545</v>
      </c>
      <c r="N28" s="51">
        <f t="shared" si="2"/>
        <v>1171.3037655629755</v>
      </c>
      <c r="O28" s="51"/>
      <c r="P28" s="51">
        <f t="shared" si="3"/>
        <v>-1197.1700570524902</v>
      </c>
      <c r="S28" s="164"/>
      <c r="T28" s="164"/>
    </row>
    <row r="29" spans="1:27" ht="15" x14ac:dyDescent="0.25">
      <c r="C29" s="60"/>
      <c r="D29" s="61"/>
      <c r="E29" s="46"/>
      <c r="F29" s="46"/>
      <c r="G29" s="46"/>
      <c r="H29" s="50">
        <f t="shared" si="4"/>
        <v>12</v>
      </c>
      <c r="I29" s="51"/>
      <c r="J29" s="51"/>
      <c r="K29" s="51">
        <f t="shared" si="0"/>
        <v>1197.1700570524902</v>
      </c>
      <c r="L29" s="106">
        <f t="shared" si="5"/>
        <v>25.866291489515714</v>
      </c>
      <c r="M29" s="106">
        <f t="shared" si="1"/>
        <v>1171.3037655629744</v>
      </c>
      <c r="N29" s="51">
        <f t="shared" si="2"/>
        <v>1.1368683772161603E-12</v>
      </c>
      <c r="O29" s="51"/>
      <c r="P29" s="51">
        <f t="shared" si="3"/>
        <v>-1197.1700570524902</v>
      </c>
    </row>
    <row r="30" spans="1:27" ht="15" x14ac:dyDescent="0.25">
      <c r="A30" s="62"/>
      <c r="B30" s="62"/>
      <c r="C30" s="59" t="s">
        <v>47</v>
      </c>
      <c r="D30" s="84">
        <v>1</v>
      </c>
      <c r="E30" s="65"/>
      <c r="F30" s="65"/>
      <c r="G30" s="65"/>
      <c r="H30" s="50" t="str">
        <f t="shared" si="4"/>
        <v xml:space="preserve"> </v>
      </c>
      <c r="I30" s="51"/>
      <c r="J30" s="51"/>
      <c r="K30" s="51">
        <f t="shared" si="0"/>
        <v>0</v>
      </c>
      <c r="L30" s="106" t="str">
        <f t="shared" si="5"/>
        <v xml:space="preserve"> </v>
      </c>
      <c r="M30" s="106" t="str">
        <f t="shared" si="1"/>
        <v xml:space="preserve"> </v>
      </c>
      <c r="N30" s="51" t="str">
        <f t="shared" si="2"/>
        <v xml:space="preserve"> </v>
      </c>
      <c r="O30" s="51"/>
      <c r="P30" s="51" t="str">
        <f t="shared" si="3"/>
        <v xml:space="preserve"> </v>
      </c>
      <c r="W30" s="165" t="s">
        <v>88</v>
      </c>
      <c r="X30" s="165"/>
    </row>
    <row r="31" spans="1:27" ht="15.75" thickBot="1" x14ac:dyDescent="0.3">
      <c r="C31" s="60" t="s">
        <v>25</v>
      </c>
      <c r="D31" s="66">
        <f>+D30*360</f>
        <v>360</v>
      </c>
      <c r="E31" s="46"/>
      <c r="F31" s="46"/>
      <c r="G31" s="46"/>
      <c r="H31" s="50" t="str">
        <f t="shared" si="4"/>
        <v xml:space="preserve"> </v>
      </c>
      <c r="I31" s="51"/>
      <c r="J31" s="51"/>
      <c r="K31" s="51" t="str">
        <f t="shared" si="0"/>
        <v/>
      </c>
      <c r="L31" s="106" t="str">
        <f t="shared" si="5"/>
        <v xml:space="preserve"> </v>
      </c>
      <c r="M31" s="106" t="str">
        <f t="shared" si="1"/>
        <v xml:space="preserve"> </v>
      </c>
      <c r="N31" s="51" t="str">
        <f t="shared" si="2"/>
        <v xml:space="preserve"> </v>
      </c>
      <c r="O31" s="51"/>
      <c r="P31" s="51" t="str">
        <f t="shared" si="3"/>
        <v xml:space="preserve"> </v>
      </c>
      <c r="W31" s="165"/>
      <c r="X31" s="165"/>
    </row>
    <row r="32" spans="1:27" ht="15" customHeight="1" x14ac:dyDescent="0.25">
      <c r="A32" s="67"/>
      <c r="B32" s="67"/>
      <c r="C32" s="60" t="s">
        <v>57</v>
      </c>
      <c r="D32" s="66">
        <f>IF(D23="Anual",360,IF(D23="Semestral",180,IF(D23="Cuatrimestral",120,IF(D23="Trimestral",90,IF(D23="Bimensual",60,IF(D23="Mensual",30,IF(D23="Quincenal",15)))))))</f>
        <v>30</v>
      </c>
      <c r="E32" s="95"/>
      <c r="F32" s="68"/>
      <c r="G32" s="68"/>
      <c r="H32" s="50" t="str">
        <f t="shared" si="4"/>
        <v xml:space="preserve"> </v>
      </c>
      <c r="I32" s="51"/>
      <c r="J32" s="51"/>
      <c r="K32" s="51" t="str">
        <f t="shared" si="0"/>
        <v/>
      </c>
      <c r="L32" s="106" t="str">
        <f t="shared" si="5"/>
        <v xml:space="preserve"> </v>
      </c>
      <c r="M32" s="106" t="str">
        <f t="shared" si="1"/>
        <v xml:space="preserve"> </v>
      </c>
      <c r="N32" s="51" t="str">
        <f t="shared" si="2"/>
        <v xml:space="preserve"> </v>
      </c>
      <c r="O32" s="51"/>
      <c r="P32" s="51" t="str">
        <f t="shared" si="3"/>
        <v xml:space="preserve"> </v>
      </c>
      <c r="W32" s="188" t="s">
        <v>11</v>
      </c>
      <c r="X32" s="189"/>
      <c r="Z32" s="179" t="s">
        <v>11</v>
      </c>
      <c r="AA32" s="182">
        <f>IRR(P17:P317,)</f>
        <v>2.2083333333332567E-2</v>
      </c>
    </row>
    <row r="33" spans="1:27" ht="15.75" customHeight="1" x14ac:dyDescent="0.25">
      <c r="A33" s="67"/>
      <c r="B33" s="67"/>
      <c r="C33" s="85" t="s">
        <v>58</v>
      </c>
      <c r="D33" s="86">
        <f>IF(D23="Anual",D30*1,IF(D23="Semestral",D30*2,IF(D23="Cuatrimestral",D30*3,IF(D23="Trimestral",D30*4,IF(D23="Bimensual",D30*6,IF(D23="Mensual",D30*12,IF(D23="Quincenal",D30*24)))))))</f>
        <v>12</v>
      </c>
      <c r="E33" s="68"/>
      <c r="F33" s="68"/>
      <c r="G33" s="68"/>
      <c r="H33" s="50" t="str">
        <f t="shared" si="4"/>
        <v xml:space="preserve"> </v>
      </c>
      <c r="I33" s="51"/>
      <c r="J33" s="51"/>
      <c r="K33" s="51" t="str">
        <f t="shared" si="0"/>
        <v/>
      </c>
      <c r="L33" s="106" t="str">
        <f t="shared" si="5"/>
        <v xml:space="preserve"> </v>
      </c>
      <c r="M33" s="106" t="str">
        <f t="shared" si="1"/>
        <v xml:space="preserve"> </v>
      </c>
      <c r="N33" s="51" t="str">
        <f t="shared" si="2"/>
        <v xml:space="preserve"> </v>
      </c>
      <c r="O33" s="51"/>
      <c r="P33" s="51" t="str">
        <f t="shared" si="3"/>
        <v xml:space="preserve"> </v>
      </c>
      <c r="W33" s="166" t="s">
        <v>89</v>
      </c>
      <c r="X33" s="167"/>
      <c r="Z33" s="180"/>
      <c r="AA33" s="183"/>
    </row>
    <row r="34" spans="1:27" ht="15.75" thickBot="1" x14ac:dyDescent="0.3">
      <c r="A34" s="67"/>
      <c r="B34" s="67"/>
      <c r="E34" s="68"/>
      <c r="F34" s="68"/>
      <c r="G34" s="68"/>
      <c r="H34" s="50" t="str">
        <f t="shared" si="4"/>
        <v xml:space="preserve"> </v>
      </c>
      <c r="I34" s="51"/>
      <c r="J34" s="51"/>
      <c r="K34" s="51" t="str">
        <f t="shared" si="0"/>
        <v/>
      </c>
      <c r="L34" s="106" t="str">
        <f t="shared" si="5"/>
        <v xml:space="preserve"> </v>
      </c>
      <c r="M34" s="106" t="str">
        <f t="shared" si="1"/>
        <v xml:space="preserve"> </v>
      </c>
      <c r="N34" s="51" t="str">
        <f t="shared" si="2"/>
        <v xml:space="preserve"> </v>
      </c>
      <c r="O34" s="51"/>
      <c r="P34" s="51" t="str">
        <f t="shared" si="3"/>
        <v xml:space="preserve"> </v>
      </c>
      <c r="W34" s="168"/>
      <c r="X34" s="169"/>
      <c r="Z34" s="181"/>
      <c r="AA34" s="184"/>
    </row>
    <row r="35" spans="1:27" ht="15.75" thickBot="1" x14ac:dyDescent="0.3">
      <c r="C35" s="96" t="s">
        <v>109</v>
      </c>
      <c r="D35" s="138">
        <v>1.7000000000000001E-2</v>
      </c>
      <c r="E35" s="82"/>
      <c r="F35" s="46"/>
      <c r="G35" s="46"/>
      <c r="H35" s="50" t="str">
        <f t="shared" si="4"/>
        <v xml:space="preserve"> </v>
      </c>
      <c r="I35" s="51"/>
      <c r="J35" s="51"/>
      <c r="K35" s="51" t="str">
        <f t="shared" si="0"/>
        <v/>
      </c>
      <c r="L35" s="106" t="str">
        <f t="shared" si="5"/>
        <v xml:space="preserve"> </v>
      </c>
      <c r="M35" s="106" t="str">
        <f t="shared" si="1"/>
        <v xml:space="preserve"> </v>
      </c>
      <c r="N35" s="51" t="str">
        <f t="shared" si="2"/>
        <v xml:space="preserve"> </v>
      </c>
      <c r="O35" s="51"/>
      <c r="P35" s="51" t="str">
        <f t="shared" si="3"/>
        <v xml:space="preserve"> </v>
      </c>
      <c r="AA35" s="128"/>
    </row>
    <row r="36" spans="1:27" ht="15" customHeight="1" x14ac:dyDescent="0.25">
      <c r="C36" s="69"/>
      <c r="D36" s="70"/>
      <c r="F36" s="46"/>
      <c r="G36" s="46"/>
      <c r="H36" s="50" t="str">
        <f t="shared" si="4"/>
        <v xml:space="preserve"> </v>
      </c>
      <c r="I36" s="51"/>
      <c r="J36" s="51"/>
      <c r="K36" s="51" t="str">
        <f t="shared" si="0"/>
        <v/>
      </c>
      <c r="L36" s="106" t="str">
        <f t="shared" si="5"/>
        <v xml:space="preserve"> </v>
      </c>
      <c r="M36" s="106" t="str">
        <f t="shared" si="1"/>
        <v xml:space="preserve"> </v>
      </c>
      <c r="N36" s="51" t="str">
        <f t="shared" si="2"/>
        <v xml:space="preserve"> </v>
      </c>
      <c r="O36" s="51"/>
      <c r="P36" s="51" t="str">
        <f t="shared" si="3"/>
        <v xml:space="preserve"> </v>
      </c>
      <c r="W36" s="188" t="s">
        <v>12</v>
      </c>
      <c r="X36" s="189"/>
      <c r="Z36" s="179" t="s">
        <v>12</v>
      </c>
      <c r="AA36" s="182">
        <f>+AA32*360/$D$32</f>
        <v>0.2649999999999908</v>
      </c>
    </row>
    <row r="37" spans="1:27" ht="15" customHeight="1" x14ac:dyDescent="0.25">
      <c r="C37" s="96" t="s">
        <v>110</v>
      </c>
      <c r="D37" s="138">
        <v>0.2</v>
      </c>
      <c r="H37" s="50" t="str">
        <f t="shared" si="4"/>
        <v xml:space="preserve"> </v>
      </c>
      <c r="I37" s="51"/>
      <c r="J37" s="51"/>
      <c r="K37" s="51" t="str">
        <f t="shared" si="0"/>
        <v/>
      </c>
      <c r="L37" s="106" t="str">
        <f t="shared" si="5"/>
        <v xml:space="preserve"> </v>
      </c>
      <c r="M37" s="106" t="str">
        <f t="shared" si="1"/>
        <v xml:space="preserve"> </v>
      </c>
      <c r="N37" s="51" t="str">
        <f t="shared" si="2"/>
        <v xml:space="preserve"> </v>
      </c>
      <c r="O37" s="51"/>
      <c r="P37" s="51" t="str">
        <f t="shared" si="3"/>
        <v xml:space="preserve"> </v>
      </c>
      <c r="W37" s="166" t="s">
        <v>90</v>
      </c>
      <c r="X37" s="167"/>
      <c r="Z37" s="180"/>
      <c r="AA37" s="183"/>
    </row>
    <row r="38" spans="1:27" ht="15.75" customHeight="1" thickBot="1" x14ac:dyDescent="0.3">
      <c r="H38" s="50" t="str">
        <f t="shared" si="4"/>
        <v xml:space="preserve"> </v>
      </c>
      <c r="I38" s="51"/>
      <c r="J38" s="51"/>
      <c r="K38" s="51" t="str">
        <f t="shared" si="0"/>
        <v/>
      </c>
      <c r="L38" s="106" t="str">
        <f t="shared" si="5"/>
        <v xml:space="preserve"> </v>
      </c>
      <c r="M38" s="106" t="str">
        <f t="shared" si="1"/>
        <v xml:space="preserve"> </v>
      </c>
      <c r="N38" s="51" t="str">
        <f t="shared" si="2"/>
        <v xml:space="preserve"> </v>
      </c>
      <c r="O38" s="51"/>
      <c r="P38" s="51" t="str">
        <f t="shared" si="3"/>
        <v xml:space="preserve"> </v>
      </c>
      <c r="W38" s="168"/>
      <c r="X38" s="169"/>
      <c r="Z38" s="181"/>
      <c r="AA38" s="184"/>
    </row>
    <row r="39" spans="1:27" ht="18.75" x14ac:dyDescent="0.25">
      <c r="E39" s="46"/>
      <c r="F39" s="46"/>
      <c r="G39" s="46"/>
      <c r="H39" s="50" t="str">
        <f t="shared" si="4"/>
        <v xml:space="preserve"> </v>
      </c>
      <c r="I39" s="51"/>
      <c r="J39" s="51"/>
      <c r="K39" s="51" t="str">
        <f t="shared" si="0"/>
        <v/>
      </c>
      <c r="L39" s="106" t="str">
        <f t="shared" si="5"/>
        <v xml:space="preserve"> </v>
      </c>
      <c r="M39" s="106" t="str">
        <f t="shared" si="1"/>
        <v xml:space="preserve"> </v>
      </c>
      <c r="N39" s="51" t="str">
        <f t="shared" si="2"/>
        <v xml:space="preserve"> </v>
      </c>
      <c r="O39" s="51"/>
      <c r="P39" s="51" t="str">
        <f t="shared" si="3"/>
        <v xml:space="preserve"> </v>
      </c>
      <c r="W39" s="108"/>
      <c r="X39" s="108"/>
      <c r="Z39" s="107"/>
      <c r="AA39" s="109"/>
    </row>
    <row r="40" spans="1:27" ht="30" customHeight="1" x14ac:dyDescent="0.25">
      <c r="C40" s="88" t="s">
        <v>13</v>
      </c>
      <c r="D40" s="126">
        <f>+AA36</f>
        <v>0.2649999999999908</v>
      </c>
      <c r="E40" s="174" t="str">
        <f>IF(D41&gt;D42,"Excede la Máxima, considerar bajar la tasa nominal", "Esta dentro del límite")</f>
        <v>Esta dentro del límite</v>
      </c>
      <c r="F40" s="175"/>
      <c r="G40" s="46"/>
      <c r="H40" s="50" t="str">
        <f t="shared" si="4"/>
        <v xml:space="preserve"> </v>
      </c>
      <c r="I40" s="51"/>
      <c r="J40" s="51"/>
      <c r="K40" s="51" t="str">
        <f t="shared" si="0"/>
        <v/>
      </c>
      <c r="L40" s="106" t="str">
        <f t="shared" si="5"/>
        <v xml:space="preserve"> </v>
      </c>
      <c r="M40" s="106" t="str">
        <f t="shared" si="1"/>
        <v xml:space="preserve"> </v>
      </c>
      <c r="N40" s="51" t="str">
        <f t="shared" si="2"/>
        <v xml:space="preserve"> </v>
      </c>
      <c r="O40" s="51"/>
      <c r="P40" s="51" t="str">
        <f t="shared" si="3"/>
        <v xml:space="preserve"> </v>
      </c>
      <c r="S40" s="151" t="s">
        <v>92</v>
      </c>
      <c r="T40" s="151"/>
      <c r="U40" s="151"/>
      <c r="V40" s="151"/>
      <c r="W40" s="151"/>
      <c r="X40" s="151"/>
      <c r="Y40" s="151"/>
      <c r="Z40" s="151"/>
      <c r="AA40" s="151"/>
    </row>
    <row r="41" spans="1:27" ht="18.75" customHeight="1" thickBot="1" x14ac:dyDescent="0.3">
      <c r="C41" s="89" t="s">
        <v>14</v>
      </c>
      <c r="D41" s="127">
        <f>+V65</f>
        <v>0.29967773173404511</v>
      </c>
      <c r="E41" s="176"/>
      <c r="F41" s="177"/>
      <c r="G41" s="71"/>
      <c r="H41" s="50" t="str">
        <f t="shared" si="4"/>
        <v xml:space="preserve"> </v>
      </c>
      <c r="I41" s="51"/>
      <c r="J41" s="51"/>
      <c r="K41" s="51" t="str">
        <f t="shared" si="0"/>
        <v/>
      </c>
      <c r="L41" s="106" t="str">
        <f t="shared" si="5"/>
        <v xml:space="preserve"> </v>
      </c>
      <c r="M41" s="106" t="str">
        <f t="shared" si="1"/>
        <v xml:space="preserve"> </v>
      </c>
      <c r="N41" s="51" t="str">
        <f t="shared" si="2"/>
        <v xml:space="preserve"> </v>
      </c>
      <c r="O41" s="51"/>
      <c r="P41" s="51" t="str">
        <f t="shared" si="3"/>
        <v xml:space="preserve"> </v>
      </c>
      <c r="S41" s="152"/>
      <c r="T41" s="152"/>
      <c r="U41" s="152"/>
      <c r="V41" s="152"/>
      <c r="W41" s="152"/>
      <c r="X41" s="152"/>
      <c r="Y41" s="152"/>
      <c r="Z41" s="152"/>
      <c r="AA41" s="152"/>
    </row>
    <row r="42" spans="1:27" ht="30.75" thickBot="1" x14ac:dyDescent="0.3">
      <c r="C42" s="72" t="s">
        <v>55</v>
      </c>
      <c r="D42" s="73">
        <f>IF(D19="Productivo Corporativo",9.33%,IF(D19="Productivo Empresarial",10.21%,IF(D19="Productivo PYMES",11.83%,IF(D19="Comercial Ordinario",11.83%,IF(D19="Comercial Prioritario Corporativo",9.33%,IF(D19="Comercial Prioritario Empresarial",10.21%,IF(D19="Comercial Prioritaria PYMES",11.83%,IF(D19="Consumo Ordinario",17.3%,IF(D19="Consumo Prioritario",17.3%,IF(D19="Educativo",9.5%,IF(D19="Vivienda de Interés Público",4.99%,IF(D19="Inmobiliario",11.33%,IF(D19="Microcrédito Minorista",30.5%,IF(D19="Microcrédito Acumulación Simple",27.5%,IF(D19="Microcrédito Acumulación Ampliada",25.5%)))))))))))))))</f>
        <v>0.30499999999999999</v>
      </c>
      <c r="E42" s="46"/>
      <c r="F42" s="46"/>
      <c r="G42" s="46"/>
      <c r="H42" s="50" t="str">
        <f t="shared" si="4"/>
        <v xml:space="preserve"> </v>
      </c>
      <c r="I42" s="51"/>
      <c r="J42" s="51"/>
      <c r="K42" s="51" t="str">
        <f t="shared" si="0"/>
        <v/>
      </c>
      <c r="L42" s="106" t="str">
        <f t="shared" si="5"/>
        <v xml:space="preserve"> </v>
      </c>
      <c r="M42" s="106" t="str">
        <f t="shared" si="1"/>
        <v xml:space="preserve"> </v>
      </c>
      <c r="N42" s="51" t="str">
        <f t="shared" si="2"/>
        <v xml:space="preserve"> </v>
      </c>
      <c r="O42" s="51"/>
      <c r="P42" s="51" t="str">
        <f t="shared" si="3"/>
        <v xml:space="preserve"> </v>
      </c>
      <c r="W42" s="108"/>
      <c r="X42" s="108"/>
      <c r="Z42" s="107"/>
      <c r="AA42" s="109"/>
    </row>
    <row r="43" spans="1:27" ht="18.75" x14ac:dyDescent="0.25">
      <c r="C43" s="74" t="s">
        <v>37</v>
      </c>
      <c r="D43" s="46"/>
      <c r="E43" s="46"/>
      <c r="F43" s="46"/>
      <c r="G43" s="87"/>
      <c r="H43" s="50" t="str">
        <f t="shared" si="4"/>
        <v xml:space="preserve"> </v>
      </c>
      <c r="I43" s="51"/>
      <c r="J43" s="51"/>
      <c r="K43" s="51" t="str">
        <f t="shared" si="0"/>
        <v/>
      </c>
      <c r="L43" s="106" t="str">
        <f t="shared" si="5"/>
        <v xml:space="preserve"> </v>
      </c>
      <c r="M43" s="106" t="str">
        <f t="shared" si="1"/>
        <v xml:space="preserve"> </v>
      </c>
      <c r="N43" s="51" t="str">
        <f t="shared" si="2"/>
        <v xml:space="preserve"> </v>
      </c>
      <c r="O43" s="51"/>
      <c r="P43" s="51" t="str">
        <f t="shared" si="3"/>
        <v xml:space="preserve"> </v>
      </c>
      <c r="S43" s="163" t="s">
        <v>93</v>
      </c>
      <c r="T43" s="163"/>
      <c r="U43" s="163"/>
      <c r="W43" s="108"/>
      <c r="X43" s="108"/>
      <c r="Z43" s="107"/>
      <c r="AA43" s="109"/>
    </row>
    <row r="44" spans="1:27" ht="18.75" x14ac:dyDescent="0.25">
      <c r="G44" s="46"/>
      <c r="H44" s="50" t="str">
        <f t="shared" si="4"/>
        <v xml:space="preserve"> </v>
      </c>
      <c r="I44" s="51"/>
      <c r="J44" s="51"/>
      <c r="K44" s="51" t="str">
        <f t="shared" si="0"/>
        <v/>
      </c>
      <c r="L44" s="106" t="str">
        <f t="shared" si="5"/>
        <v xml:space="preserve"> </v>
      </c>
      <c r="M44" s="106" t="str">
        <f t="shared" si="1"/>
        <v xml:space="preserve"> </v>
      </c>
      <c r="N44" s="51" t="str">
        <f t="shared" si="2"/>
        <v xml:space="preserve"> </v>
      </c>
      <c r="O44" s="51"/>
      <c r="P44" s="51" t="str">
        <f t="shared" si="3"/>
        <v xml:space="preserve"> </v>
      </c>
      <c r="S44" s="163"/>
      <c r="T44" s="163"/>
      <c r="U44" s="163"/>
      <c r="W44" s="108"/>
      <c r="X44" s="108"/>
      <c r="Z44" s="107"/>
      <c r="AA44" s="109"/>
    </row>
    <row r="45" spans="1:27" ht="18.75" x14ac:dyDescent="0.25">
      <c r="G45" s="46"/>
      <c r="H45" s="50" t="str">
        <f t="shared" si="4"/>
        <v xml:space="preserve"> </v>
      </c>
      <c r="I45" s="51"/>
      <c r="J45" s="51"/>
      <c r="K45" s="51" t="str">
        <f t="shared" si="0"/>
        <v/>
      </c>
      <c r="L45" s="106" t="str">
        <f t="shared" si="5"/>
        <v xml:space="preserve"> </v>
      </c>
      <c r="M45" s="106" t="str">
        <f t="shared" si="1"/>
        <v xml:space="preserve"> </v>
      </c>
      <c r="N45" s="51" t="str">
        <f t="shared" si="2"/>
        <v xml:space="preserve"> </v>
      </c>
      <c r="O45" s="51"/>
      <c r="P45" s="51" t="str">
        <f t="shared" si="3"/>
        <v xml:space="preserve"> </v>
      </c>
      <c r="W45" s="108"/>
      <c r="X45" s="108"/>
      <c r="Z45" s="107"/>
      <c r="AA45" s="109"/>
    </row>
    <row r="46" spans="1:27" ht="18.75" x14ac:dyDescent="0.25">
      <c r="G46" s="46"/>
      <c r="H46" s="50" t="str">
        <f t="shared" si="4"/>
        <v xml:space="preserve"> </v>
      </c>
      <c r="I46" s="51"/>
      <c r="J46" s="51"/>
      <c r="K46" s="51" t="str">
        <f t="shared" si="0"/>
        <v/>
      </c>
      <c r="L46" s="106" t="str">
        <f t="shared" si="5"/>
        <v xml:space="preserve"> </v>
      </c>
      <c r="M46" s="106" t="str">
        <f t="shared" si="1"/>
        <v xml:space="preserve"> </v>
      </c>
      <c r="N46" s="51" t="str">
        <f t="shared" si="2"/>
        <v xml:space="preserve"> </v>
      </c>
      <c r="O46" s="51"/>
      <c r="P46" s="51" t="str">
        <f t="shared" si="3"/>
        <v xml:space="preserve"> </v>
      </c>
      <c r="W46" s="108"/>
      <c r="X46" s="108"/>
      <c r="Z46" s="107"/>
      <c r="AA46" s="109"/>
    </row>
    <row r="47" spans="1:27" ht="18.75" x14ac:dyDescent="0.25">
      <c r="B47" s="75"/>
      <c r="C47" s="46"/>
      <c r="D47" s="77"/>
      <c r="E47" s="76"/>
      <c r="F47" s="46"/>
      <c r="G47" s="46"/>
      <c r="H47" s="50" t="str">
        <f t="shared" si="4"/>
        <v xml:space="preserve"> </v>
      </c>
      <c r="I47" s="51"/>
      <c r="J47" s="51"/>
      <c r="K47" s="51" t="str">
        <f t="shared" si="0"/>
        <v/>
      </c>
      <c r="L47" s="106" t="str">
        <f t="shared" si="5"/>
        <v xml:space="preserve"> </v>
      </c>
      <c r="M47" s="106" t="str">
        <f t="shared" si="1"/>
        <v xml:space="preserve"> </v>
      </c>
      <c r="N47" s="51" t="str">
        <f t="shared" si="2"/>
        <v xml:space="preserve"> </v>
      </c>
      <c r="O47" s="51"/>
      <c r="P47" s="51" t="str">
        <f t="shared" si="3"/>
        <v xml:space="preserve"> </v>
      </c>
      <c r="W47" s="108"/>
      <c r="X47" s="108"/>
      <c r="Z47" s="107"/>
      <c r="AA47" s="109"/>
    </row>
    <row r="48" spans="1:27" ht="18.75" x14ac:dyDescent="0.25">
      <c r="B48" s="75"/>
      <c r="C48" s="92" t="s">
        <v>49</v>
      </c>
      <c r="D48" s="76"/>
      <c r="E48" s="76"/>
      <c r="F48" s="46"/>
      <c r="G48" s="46"/>
      <c r="H48" s="50" t="str">
        <f t="shared" si="4"/>
        <v xml:space="preserve"> </v>
      </c>
      <c r="I48" s="51"/>
      <c r="J48" s="51"/>
      <c r="K48" s="51" t="str">
        <f t="shared" si="0"/>
        <v/>
      </c>
      <c r="L48" s="106" t="str">
        <f t="shared" si="5"/>
        <v xml:space="preserve"> </v>
      </c>
      <c r="M48" s="106" t="str">
        <f t="shared" si="1"/>
        <v xml:space="preserve"> </v>
      </c>
      <c r="N48" s="51" t="str">
        <f t="shared" si="2"/>
        <v xml:space="preserve"> </v>
      </c>
      <c r="O48" s="51"/>
      <c r="P48" s="51" t="str">
        <f t="shared" si="3"/>
        <v xml:space="preserve"> </v>
      </c>
      <c r="W48" s="108"/>
      <c r="X48" s="108"/>
      <c r="Z48" s="107"/>
      <c r="AA48" s="109"/>
    </row>
    <row r="49" spans="2:27" ht="18.75" x14ac:dyDescent="0.25">
      <c r="B49" s="75"/>
      <c r="C49" s="92" t="s">
        <v>50</v>
      </c>
      <c r="D49" s="76"/>
      <c r="E49" s="76"/>
      <c r="F49" s="46"/>
      <c r="G49" s="46"/>
      <c r="H49" s="50" t="str">
        <f t="shared" si="4"/>
        <v xml:space="preserve"> </v>
      </c>
      <c r="I49" s="51"/>
      <c r="J49" s="51"/>
      <c r="K49" s="51" t="str">
        <f t="shared" si="0"/>
        <v/>
      </c>
      <c r="L49" s="106" t="str">
        <f t="shared" si="5"/>
        <v xml:space="preserve"> </v>
      </c>
      <c r="M49" s="106" t="str">
        <f t="shared" si="1"/>
        <v xml:space="preserve"> </v>
      </c>
      <c r="N49" s="51" t="str">
        <f t="shared" si="2"/>
        <v xml:space="preserve"> </v>
      </c>
      <c r="O49" s="51"/>
      <c r="P49" s="51" t="str">
        <f t="shared" si="3"/>
        <v xml:space="preserve"> </v>
      </c>
      <c r="S49" s="164" t="s">
        <v>87</v>
      </c>
      <c r="T49" s="164"/>
      <c r="W49" s="108"/>
      <c r="X49" s="108"/>
      <c r="Z49" s="107"/>
      <c r="AA49" s="109"/>
    </row>
    <row r="50" spans="2:27" ht="18.75" x14ac:dyDescent="0.25">
      <c r="B50" s="75"/>
      <c r="C50" s="92" t="s">
        <v>54</v>
      </c>
      <c r="D50" s="76"/>
      <c r="E50" s="76"/>
      <c r="F50" s="46"/>
      <c r="G50" s="46"/>
      <c r="H50" s="50" t="str">
        <f t="shared" si="4"/>
        <v xml:space="preserve"> </v>
      </c>
      <c r="I50" s="51"/>
      <c r="J50" s="51"/>
      <c r="K50" s="51" t="str">
        <f t="shared" si="0"/>
        <v/>
      </c>
      <c r="L50" s="106" t="str">
        <f t="shared" si="5"/>
        <v xml:space="preserve"> </v>
      </c>
      <c r="M50" s="106" t="str">
        <f t="shared" si="1"/>
        <v xml:space="preserve"> </v>
      </c>
      <c r="N50" s="51" t="str">
        <f t="shared" si="2"/>
        <v xml:space="preserve"> </v>
      </c>
      <c r="O50" s="51"/>
      <c r="P50" s="51" t="str">
        <f t="shared" si="3"/>
        <v xml:space="preserve"> </v>
      </c>
      <c r="S50" s="164"/>
      <c r="T50" s="164"/>
      <c r="W50" s="108"/>
      <c r="X50" s="108"/>
      <c r="Z50" s="107"/>
      <c r="AA50" s="109"/>
    </row>
    <row r="51" spans="2:27" ht="18.75" x14ac:dyDescent="0.25">
      <c r="B51" s="75"/>
      <c r="C51" s="92" t="s">
        <v>66</v>
      </c>
      <c r="D51" s="76"/>
      <c r="E51" s="76"/>
      <c r="F51" s="46"/>
      <c r="G51" s="46"/>
      <c r="H51" s="50" t="str">
        <f t="shared" si="4"/>
        <v xml:space="preserve"> </v>
      </c>
      <c r="I51" s="51"/>
      <c r="J51" s="51"/>
      <c r="K51" s="51" t="str">
        <f t="shared" si="0"/>
        <v/>
      </c>
      <c r="L51" s="106" t="str">
        <f t="shared" si="5"/>
        <v xml:space="preserve"> </v>
      </c>
      <c r="M51" s="106" t="str">
        <f t="shared" si="1"/>
        <v xml:space="preserve"> </v>
      </c>
      <c r="N51" s="51" t="str">
        <f t="shared" si="2"/>
        <v xml:space="preserve"> </v>
      </c>
      <c r="O51" s="51"/>
      <c r="P51" s="51" t="str">
        <f t="shared" si="3"/>
        <v xml:space="preserve"> </v>
      </c>
      <c r="W51" s="108"/>
      <c r="X51" s="108"/>
      <c r="Z51" s="107"/>
      <c r="AA51" s="109"/>
    </row>
    <row r="52" spans="2:27" ht="18.75" x14ac:dyDescent="0.25">
      <c r="B52" s="75"/>
      <c r="C52" s="92" t="s">
        <v>67</v>
      </c>
      <c r="D52" s="76"/>
      <c r="E52" s="76"/>
      <c r="F52" s="46"/>
      <c r="G52" s="46"/>
      <c r="H52" s="50" t="str">
        <f t="shared" si="4"/>
        <v xml:space="preserve"> </v>
      </c>
      <c r="I52" s="51"/>
      <c r="J52" s="51"/>
      <c r="K52" s="51" t="str">
        <f t="shared" si="0"/>
        <v/>
      </c>
      <c r="L52" s="106" t="str">
        <f t="shared" si="5"/>
        <v xml:space="preserve"> </v>
      </c>
      <c r="M52" s="106" t="str">
        <f t="shared" si="1"/>
        <v xml:space="preserve"> </v>
      </c>
      <c r="N52" s="51" t="str">
        <f t="shared" si="2"/>
        <v xml:space="preserve"> </v>
      </c>
      <c r="O52" s="51"/>
      <c r="P52" s="51" t="str">
        <f t="shared" si="3"/>
        <v xml:space="preserve"> </v>
      </c>
      <c r="W52" s="108"/>
      <c r="X52" s="108"/>
      <c r="Z52" s="107"/>
      <c r="AA52" s="109"/>
    </row>
    <row r="53" spans="2:27" ht="15" x14ac:dyDescent="0.25">
      <c r="B53" s="75"/>
      <c r="C53" s="92" t="s">
        <v>68</v>
      </c>
      <c r="D53" s="76"/>
      <c r="E53" s="76"/>
      <c r="F53" s="46"/>
      <c r="G53" s="46"/>
      <c r="H53" s="50" t="str">
        <f t="shared" si="4"/>
        <v xml:space="preserve"> </v>
      </c>
      <c r="I53" s="51"/>
      <c r="J53" s="51"/>
      <c r="K53" s="51" t="str">
        <f t="shared" si="0"/>
        <v/>
      </c>
      <c r="L53" s="106" t="str">
        <f t="shared" si="5"/>
        <v xml:space="preserve"> </v>
      </c>
      <c r="M53" s="106" t="str">
        <f t="shared" si="1"/>
        <v xml:space="preserve"> </v>
      </c>
      <c r="N53" s="51" t="str">
        <f t="shared" si="2"/>
        <v xml:space="preserve"> </v>
      </c>
      <c r="O53" s="51"/>
      <c r="P53" s="51" t="str">
        <f t="shared" si="3"/>
        <v xml:space="preserve"> </v>
      </c>
    </row>
    <row r="54" spans="2:27" ht="28.5" x14ac:dyDescent="0.25">
      <c r="B54" s="75"/>
      <c r="C54" s="92" t="s">
        <v>69</v>
      </c>
      <c r="D54" s="76"/>
      <c r="E54" s="76"/>
      <c r="F54" s="46"/>
      <c r="G54" s="46"/>
      <c r="H54" s="50" t="str">
        <f t="shared" si="4"/>
        <v xml:space="preserve"> </v>
      </c>
      <c r="I54" s="51"/>
      <c r="J54" s="51"/>
      <c r="K54" s="51" t="str">
        <f t="shared" si="0"/>
        <v/>
      </c>
      <c r="L54" s="106" t="str">
        <f t="shared" si="5"/>
        <v xml:space="preserve"> </v>
      </c>
      <c r="M54" s="106" t="str">
        <f t="shared" si="1"/>
        <v xml:space="preserve"> </v>
      </c>
      <c r="N54" s="51" t="str">
        <f t="shared" si="2"/>
        <v xml:space="preserve"> </v>
      </c>
      <c r="O54" s="51"/>
      <c r="P54" s="51" t="str">
        <f t="shared" si="3"/>
        <v xml:space="preserve"> </v>
      </c>
      <c r="T54" s="112"/>
      <c r="U54" s="113"/>
      <c r="V54" s="113"/>
      <c r="W54" s="113"/>
      <c r="X54" s="114"/>
      <c r="Y54" s="115">
        <v>360</v>
      </c>
      <c r="Z54" s="116"/>
    </row>
    <row r="55" spans="2:27" ht="15" x14ac:dyDescent="0.25">
      <c r="B55" s="75"/>
      <c r="C55" s="92" t="s">
        <v>70</v>
      </c>
      <c r="D55" s="76"/>
      <c r="E55" s="76"/>
      <c r="F55" s="46"/>
      <c r="G55" s="46"/>
      <c r="H55" s="50" t="str">
        <f t="shared" si="4"/>
        <v xml:space="preserve"> </v>
      </c>
      <c r="I55" s="51"/>
      <c r="J55" s="51"/>
      <c r="K55" s="51" t="str">
        <f t="shared" si="0"/>
        <v/>
      </c>
      <c r="L55" s="106" t="str">
        <f t="shared" si="5"/>
        <v xml:space="preserve"> </v>
      </c>
      <c r="M55" s="106" t="str">
        <f t="shared" si="1"/>
        <v xml:space="preserve"> </v>
      </c>
      <c r="N55" s="51" t="str">
        <f t="shared" si="2"/>
        <v xml:space="preserve"> </v>
      </c>
      <c r="O55" s="51"/>
      <c r="P55" s="51" t="str">
        <f t="shared" si="3"/>
        <v xml:space="preserve"> </v>
      </c>
      <c r="T55" s="117"/>
      <c r="U55" s="118"/>
      <c r="V55" s="118"/>
      <c r="W55" s="118"/>
      <c r="X55" s="118"/>
      <c r="Y55" s="119">
        <f>+X57</f>
        <v>30</v>
      </c>
      <c r="Z55" s="120"/>
    </row>
    <row r="56" spans="2:27" ht="15.75" x14ac:dyDescent="0.25">
      <c r="B56" s="75"/>
      <c r="C56" s="92" t="s">
        <v>71</v>
      </c>
      <c r="D56" s="76"/>
      <c r="E56" s="76"/>
      <c r="F56" s="46"/>
      <c r="G56" s="46"/>
      <c r="H56" s="50" t="str">
        <f t="shared" si="4"/>
        <v xml:space="preserve"> </v>
      </c>
      <c r="I56" s="51"/>
      <c r="J56" s="51"/>
      <c r="K56" s="51" t="str">
        <f t="shared" si="0"/>
        <v/>
      </c>
      <c r="L56" s="106" t="str">
        <f t="shared" si="5"/>
        <v xml:space="preserve"> </v>
      </c>
      <c r="M56" s="106" t="str">
        <f t="shared" si="1"/>
        <v xml:space="preserve"> </v>
      </c>
      <c r="N56" s="51" t="str">
        <f t="shared" si="2"/>
        <v xml:space="preserve"> </v>
      </c>
      <c r="O56" s="51"/>
      <c r="P56" s="51" t="str">
        <f t="shared" si="3"/>
        <v xml:space="preserve"> </v>
      </c>
      <c r="T56" s="117"/>
      <c r="U56" s="118"/>
      <c r="V56" s="118"/>
      <c r="W56" s="118"/>
      <c r="X56" s="121"/>
      <c r="Y56" s="118"/>
      <c r="Z56" s="120"/>
    </row>
    <row r="57" spans="2:27" ht="28.5" x14ac:dyDescent="0.45">
      <c r="B57" s="75"/>
      <c r="C57" s="92" t="s">
        <v>72</v>
      </c>
      <c r="D57" s="76"/>
      <c r="E57" s="76"/>
      <c r="F57" s="46"/>
      <c r="G57" s="46"/>
      <c r="H57" s="50" t="str">
        <f t="shared" si="4"/>
        <v xml:space="preserve"> </v>
      </c>
      <c r="I57" s="51"/>
      <c r="J57" s="51"/>
      <c r="K57" s="51" t="str">
        <f t="shared" si="0"/>
        <v/>
      </c>
      <c r="L57" s="106" t="str">
        <f t="shared" si="5"/>
        <v xml:space="preserve"> </v>
      </c>
      <c r="M57" s="106" t="str">
        <f t="shared" si="1"/>
        <v xml:space="preserve"> </v>
      </c>
      <c r="N57" s="51" t="str">
        <f t="shared" si="2"/>
        <v xml:space="preserve"> </v>
      </c>
      <c r="O57" s="51"/>
      <c r="P57" s="51" t="str">
        <f t="shared" si="3"/>
        <v xml:space="preserve"> </v>
      </c>
      <c r="T57" s="117"/>
      <c r="U57" s="118"/>
      <c r="V57" s="190">
        <v>1</v>
      </c>
      <c r="W57" s="191">
        <f>+AA36</f>
        <v>0.2649999999999908</v>
      </c>
      <c r="X57" s="122">
        <f>+$D$32</f>
        <v>30</v>
      </c>
      <c r="Y57" s="118"/>
      <c r="Z57" s="192">
        <v>1</v>
      </c>
    </row>
    <row r="58" spans="2:27" ht="28.5" x14ac:dyDescent="0.45">
      <c r="B58" s="75"/>
      <c r="C58" s="92" t="s">
        <v>73</v>
      </c>
      <c r="D58" s="76"/>
      <c r="E58" s="76"/>
      <c r="F58" s="46"/>
      <c r="G58" s="46"/>
      <c r="H58" s="50" t="str">
        <f t="shared" si="4"/>
        <v xml:space="preserve"> </v>
      </c>
      <c r="I58" s="51"/>
      <c r="J58" s="51"/>
      <c r="K58" s="51" t="str">
        <f t="shared" si="0"/>
        <v/>
      </c>
      <c r="L58" s="106" t="str">
        <f t="shared" si="5"/>
        <v xml:space="preserve"> </v>
      </c>
      <c r="M58" s="106" t="str">
        <f t="shared" si="1"/>
        <v xml:space="preserve"> </v>
      </c>
      <c r="N58" s="51" t="str">
        <f t="shared" si="2"/>
        <v xml:space="preserve"> </v>
      </c>
      <c r="O58" s="51"/>
      <c r="P58" s="51" t="str">
        <f t="shared" si="3"/>
        <v xml:space="preserve"> </v>
      </c>
      <c r="T58" s="117"/>
      <c r="U58" s="118"/>
      <c r="V58" s="190"/>
      <c r="W58" s="191"/>
      <c r="X58" s="122">
        <v>360</v>
      </c>
      <c r="Y58" s="110"/>
      <c r="Z58" s="192"/>
    </row>
    <row r="59" spans="2:27" ht="15" x14ac:dyDescent="0.25">
      <c r="B59" s="75"/>
      <c r="C59" s="92" t="s">
        <v>74</v>
      </c>
      <c r="D59" s="76"/>
      <c r="E59" s="76"/>
      <c r="F59" s="46"/>
      <c r="G59" s="46"/>
      <c r="H59" s="50" t="str">
        <f t="shared" si="4"/>
        <v xml:space="preserve"> </v>
      </c>
      <c r="I59" s="51"/>
      <c r="J59" s="51"/>
      <c r="K59" s="51" t="str">
        <f t="shared" si="0"/>
        <v/>
      </c>
      <c r="L59" s="106" t="str">
        <f t="shared" si="5"/>
        <v xml:space="preserve"> </v>
      </c>
      <c r="M59" s="106" t="str">
        <f t="shared" si="1"/>
        <v xml:space="preserve"> </v>
      </c>
      <c r="N59" s="51" t="str">
        <f t="shared" si="2"/>
        <v xml:space="preserve"> </v>
      </c>
      <c r="O59" s="51"/>
      <c r="P59" s="51" t="str">
        <f t="shared" si="3"/>
        <v xml:space="preserve"> </v>
      </c>
      <c r="T59" s="117"/>
      <c r="U59" s="118"/>
      <c r="V59" s="118"/>
      <c r="W59" s="118"/>
      <c r="X59" s="118"/>
      <c r="Y59" s="118"/>
      <c r="Z59" s="120"/>
    </row>
    <row r="60" spans="2:27" ht="15" x14ac:dyDescent="0.25">
      <c r="B60" s="75"/>
      <c r="C60" s="92" t="s">
        <v>51</v>
      </c>
      <c r="D60" s="76"/>
      <c r="E60" s="75"/>
      <c r="H60" s="50" t="str">
        <f t="shared" si="4"/>
        <v xml:space="preserve"> </v>
      </c>
      <c r="I60" s="51"/>
      <c r="J60" s="51"/>
      <c r="K60" s="51" t="str">
        <f t="shared" si="0"/>
        <v/>
      </c>
      <c r="L60" s="106" t="str">
        <f t="shared" si="5"/>
        <v xml:space="preserve"> </v>
      </c>
      <c r="M60" s="106" t="str">
        <f t="shared" si="1"/>
        <v xml:space="preserve"> </v>
      </c>
      <c r="N60" s="51" t="str">
        <f t="shared" si="2"/>
        <v xml:space="preserve"> </v>
      </c>
      <c r="O60" s="51"/>
      <c r="P60" s="51" t="str">
        <f t="shared" si="3"/>
        <v xml:space="preserve"> </v>
      </c>
      <c r="T60" s="117"/>
      <c r="U60" s="118"/>
      <c r="V60" s="118"/>
      <c r="W60" s="118"/>
      <c r="X60" s="118"/>
      <c r="Y60" s="118"/>
      <c r="Z60" s="120"/>
    </row>
    <row r="61" spans="2:27" ht="15" x14ac:dyDescent="0.25">
      <c r="B61" s="75"/>
      <c r="C61" s="92" t="s">
        <v>52</v>
      </c>
      <c r="D61" s="76"/>
      <c r="E61" s="75"/>
      <c r="H61" s="50" t="str">
        <f t="shared" si="4"/>
        <v xml:space="preserve"> </v>
      </c>
      <c r="I61" s="51"/>
      <c r="J61" s="51"/>
      <c r="K61" s="51" t="str">
        <f t="shared" si="0"/>
        <v/>
      </c>
      <c r="L61" s="106" t="str">
        <f t="shared" si="5"/>
        <v xml:space="preserve"> </v>
      </c>
      <c r="M61" s="106" t="str">
        <f t="shared" si="1"/>
        <v xml:space="preserve"> </v>
      </c>
      <c r="N61" s="51" t="str">
        <f t="shared" si="2"/>
        <v xml:space="preserve"> </v>
      </c>
      <c r="O61" s="51"/>
      <c r="P61" s="51" t="str">
        <f t="shared" si="3"/>
        <v xml:space="preserve"> </v>
      </c>
      <c r="T61" s="123"/>
      <c r="U61" s="124"/>
      <c r="V61" s="124"/>
      <c r="W61" s="124"/>
      <c r="X61" s="124"/>
      <c r="Y61" s="124"/>
      <c r="Z61" s="125"/>
    </row>
    <row r="62" spans="2:27" ht="15" x14ac:dyDescent="0.25">
      <c r="B62" s="75"/>
      <c r="C62" s="92" t="s">
        <v>53</v>
      </c>
      <c r="D62" s="76"/>
      <c r="E62" s="75"/>
      <c r="H62" s="50" t="str">
        <f t="shared" si="4"/>
        <v xml:space="preserve"> </v>
      </c>
      <c r="I62" s="51"/>
      <c r="J62" s="51"/>
      <c r="K62" s="51" t="str">
        <f t="shared" si="0"/>
        <v/>
      </c>
      <c r="L62" s="106" t="str">
        <f t="shared" si="5"/>
        <v xml:space="preserve"> </v>
      </c>
      <c r="M62" s="106" t="str">
        <f t="shared" si="1"/>
        <v xml:space="preserve"> </v>
      </c>
      <c r="N62" s="51" t="str">
        <f t="shared" si="2"/>
        <v xml:space="preserve"> </v>
      </c>
      <c r="O62" s="51"/>
      <c r="P62" s="51" t="str">
        <f t="shared" si="3"/>
        <v xml:space="preserve"> </v>
      </c>
    </row>
    <row r="63" spans="2:27" ht="28.5" x14ac:dyDescent="0.45">
      <c r="B63" s="75"/>
      <c r="C63" s="93"/>
      <c r="D63" s="75"/>
      <c r="E63" s="75"/>
      <c r="H63" s="50" t="str">
        <f t="shared" si="4"/>
        <v xml:space="preserve"> </v>
      </c>
      <c r="I63" s="51"/>
      <c r="J63" s="51"/>
      <c r="K63" s="51" t="str">
        <f t="shared" si="0"/>
        <v/>
      </c>
      <c r="L63" s="106" t="str">
        <f t="shared" si="5"/>
        <v xml:space="preserve"> </v>
      </c>
      <c r="M63" s="106" t="str">
        <f t="shared" si="1"/>
        <v xml:space="preserve"> </v>
      </c>
      <c r="N63" s="51" t="str">
        <f t="shared" si="2"/>
        <v xml:space="preserve"> </v>
      </c>
      <c r="O63" s="51"/>
      <c r="P63" s="51" t="str">
        <f t="shared" si="3"/>
        <v xml:space="preserve"> </v>
      </c>
      <c r="U63" s="78"/>
    </row>
    <row r="64" spans="2:27" ht="15.75" thickBot="1" x14ac:dyDescent="0.3">
      <c r="B64" s="75"/>
      <c r="C64" s="93" t="s">
        <v>76</v>
      </c>
      <c r="D64" s="75"/>
      <c r="E64" s="75"/>
      <c r="H64" s="50" t="str">
        <f t="shared" si="4"/>
        <v xml:space="preserve"> </v>
      </c>
      <c r="I64" s="51"/>
      <c r="J64" s="51"/>
      <c r="K64" s="51" t="str">
        <f t="shared" si="0"/>
        <v/>
      </c>
      <c r="L64" s="106" t="str">
        <f t="shared" si="5"/>
        <v xml:space="preserve"> </v>
      </c>
      <c r="M64" s="106" t="str">
        <f t="shared" si="1"/>
        <v xml:space="preserve"> </v>
      </c>
      <c r="N64" s="51" t="str">
        <f t="shared" si="2"/>
        <v xml:space="preserve"> </v>
      </c>
      <c r="O64" s="51"/>
      <c r="P64" s="51" t="str">
        <f t="shared" si="3"/>
        <v xml:space="preserve"> </v>
      </c>
    </row>
    <row r="65" spans="2:24" ht="28.5" customHeight="1" x14ac:dyDescent="0.25">
      <c r="B65" s="75"/>
      <c r="C65" s="93" t="s">
        <v>63</v>
      </c>
      <c r="D65" s="75"/>
      <c r="E65" s="75"/>
      <c r="H65" s="50" t="str">
        <f t="shared" si="4"/>
        <v xml:space="preserve"> </v>
      </c>
      <c r="I65" s="51"/>
      <c r="J65" s="51"/>
      <c r="K65" s="51" t="str">
        <f t="shared" si="0"/>
        <v/>
      </c>
      <c r="L65" s="106" t="str">
        <f t="shared" si="5"/>
        <v xml:space="preserve"> </v>
      </c>
      <c r="M65" s="106" t="str">
        <f t="shared" si="1"/>
        <v xml:space="preserve"> </v>
      </c>
      <c r="N65" s="51" t="str">
        <f t="shared" si="2"/>
        <v xml:space="preserve"> </v>
      </c>
      <c r="O65" s="51"/>
      <c r="P65" s="51" t="str">
        <f t="shared" si="3"/>
        <v xml:space="preserve"> </v>
      </c>
      <c r="U65" s="186" t="s">
        <v>0</v>
      </c>
      <c r="V65" s="153">
        <f>+((1+AA36*($D$32/360))^(360/$D$32))-1</f>
        <v>0.29967773173404511</v>
      </c>
      <c r="W65" s="154"/>
      <c r="X65" s="111"/>
    </row>
    <row r="66" spans="2:24" ht="28.5" customHeight="1" thickBot="1" x14ac:dyDescent="0.3">
      <c r="C66" s="93"/>
      <c r="H66" s="50" t="str">
        <f t="shared" si="4"/>
        <v xml:space="preserve"> </v>
      </c>
      <c r="I66" s="51"/>
      <c r="J66" s="51"/>
      <c r="K66" s="51" t="str">
        <f t="shared" si="0"/>
        <v/>
      </c>
      <c r="L66" s="106" t="str">
        <f t="shared" si="5"/>
        <v xml:space="preserve"> </v>
      </c>
      <c r="M66" s="106" t="str">
        <f t="shared" si="1"/>
        <v xml:space="preserve"> </v>
      </c>
      <c r="N66" s="51" t="str">
        <f t="shared" si="2"/>
        <v xml:space="preserve"> </v>
      </c>
      <c r="O66" s="51"/>
      <c r="P66" s="51" t="str">
        <f t="shared" si="3"/>
        <v xml:space="preserve"> </v>
      </c>
      <c r="U66" s="187"/>
      <c r="V66" s="155"/>
      <c r="W66" s="156"/>
      <c r="X66" s="111"/>
    </row>
    <row r="67" spans="2:24" ht="15" x14ac:dyDescent="0.25">
      <c r="C67" s="93" t="s">
        <v>94</v>
      </c>
      <c r="H67" s="50" t="str">
        <f t="shared" si="4"/>
        <v xml:space="preserve"> </v>
      </c>
      <c r="I67" s="51"/>
      <c r="J67" s="51"/>
      <c r="K67" s="51" t="str">
        <f t="shared" si="0"/>
        <v/>
      </c>
      <c r="L67" s="106" t="str">
        <f t="shared" si="5"/>
        <v xml:space="preserve"> </v>
      </c>
      <c r="M67" s="106" t="str">
        <f t="shared" si="1"/>
        <v xml:space="preserve"> </v>
      </c>
      <c r="N67" s="51" t="str">
        <f t="shared" si="2"/>
        <v xml:space="preserve"> </v>
      </c>
      <c r="O67" s="51"/>
      <c r="P67" s="51" t="str">
        <f t="shared" si="3"/>
        <v xml:space="preserve"> </v>
      </c>
    </row>
    <row r="68" spans="2:24" ht="15" x14ac:dyDescent="0.25">
      <c r="C68" s="93" t="s">
        <v>77</v>
      </c>
      <c r="H68" s="50" t="str">
        <f t="shared" si="4"/>
        <v xml:space="preserve"> </v>
      </c>
      <c r="I68" s="51"/>
      <c r="J68" s="51"/>
      <c r="K68" s="51" t="str">
        <f t="shared" si="0"/>
        <v/>
      </c>
      <c r="L68" s="106" t="str">
        <f t="shared" si="5"/>
        <v xml:space="preserve"> </v>
      </c>
      <c r="M68" s="106" t="str">
        <f t="shared" si="1"/>
        <v xml:space="preserve"> </v>
      </c>
      <c r="N68" s="51" t="str">
        <f t="shared" si="2"/>
        <v xml:space="preserve"> </v>
      </c>
      <c r="O68" s="51"/>
      <c r="P68" s="51" t="str">
        <f t="shared" si="3"/>
        <v xml:space="preserve"> </v>
      </c>
    </row>
    <row r="69" spans="2:24" ht="15" x14ac:dyDescent="0.25">
      <c r="C69" s="93" t="s">
        <v>78</v>
      </c>
      <c r="H69" s="50" t="str">
        <f t="shared" si="4"/>
        <v xml:space="preserve"> </v>
      </c>
      <c r="I69" s="51"/>
      <c r="J69" s="51"/>
      <c r="K69" s="51" t="str">
        <f t="shared" si="0"/>
        <v/>
      </c>
      <c r="L69" s="106" t="str">
        <f t="shared" si="5"/>
        <v xml:space="preserve"> </v>
      </c>
      <c r="M69" s="106" t="str">
        <f t="shared" si="1"/>
        <v xml:space="preserve"> </v>
      </c>
      <c r="N69" s="51" t="str">
        <f t="shared" si="2"/>
        <v xml:space="preserve"> </v>
      </c>
      <c r="O69" s="51"/>
      <c r="P69" s="51" t="str">
        <f t="shared" si="3"/>
        <v xml:space="preserve"> </v>
      </c>
    </row>
    <row r="70" spans="2:24" ht="15" x14ac:dyDescent="0.25">
      <c r="C70" s="93" t="s">
        <v>81</v>
      </c>
      <c r="H70" s="50" t="str">
        <f t="shared" si="4"/>
        <v xml:space="preserve"> </v>
      </c>
      <c r="I70" s="51"/>
      <c r="J70" s="51"/>
      <c r="K70" s="51" t="str">
        <f t="shared" si="0"/>
        <v/>
      </c>
      <c r="L70" s="106" t="str">
        <f t="shared" si="5"/>
        <v xml:space="preserve"> </v>
      </c>
      <c r="M70" s="106" t="str">
        <f t="shared" si="1"/>
        <v xml:space="preserve"> </v>
      </c>
      <c r="N70" s="51" t="str">
        <f t="shared" si="2"/>
        <v xml:space="preserve"> </v>
      </c>
      <c r="O70" s="51"/>
      <c r="P70" s="51" t="str">
        <f t="shared" si="3"/>
        <v xml:space="preserve"> </v>
      </c>
    </row>
    <row r="71" spans="2:24" ht="15" x14ac:dyDescent="0.25">
      <c r="C71" s="93" t="s">
        <v>79</v>
      </c>
      <c r="H71" s="50" t="str">
        <f t="shared" si="4"/>
        <v xml:space="preserve"> </v>
      </c>
      <c r="I71" s="51"/>
      <c r="J71" s="51"/>
      <c r="K71" s="51" t="str">
        <f t="shared" si="0"/>
        <v/>
      </c>
      <c r="L71" s="106" t="str">
        <f t="shared" si="5"/>
        <v xml:space="preserve"> </v>
      </c>
      <c r="M71" s="106" t="str">
        <f t="shared" si="1"/>
        <v xml:space="preserve"> </v>
      </c>
      <c r="N71" s="51" t="str">
        <f t="shared" si="2"/>
        <v xml:space="preserve"> </v>
      </c>
      <c r="O71" s="51"/>
      <c r="P71" s="51" t="str">
        <f t="shared" si="3"/>
        <v xml:space="preserve"> </v>
      </c>
    </row>
    <row r="72" spans="2:24" ht="15" x14ac:dyDescent="0.25">
      <c r="C72" s="93" t="s">
        <v>82</v>
      </c>
      <c r="H72" s="50" t="str">
        <f t="shared" si="4"/>
        <v xml:space="preserve"> </v>
      </c>
      <c r="I72" s="51"/>
      <c r="J72" s="51"/>
      <c r="K72" s="51" t="str">
        <f t="shared" si="0"/>
        <v/>
      </c>
      <c r="L72" s="106" t="str">
        <f t="shared" si="5"/>
        <v xml:space="preserve"> </v>
      </c>
      <c r="M72" s="106" t="str">
        <f t="shared" si="1"/>
        <v xml:space="preserve"> </v>
      </c>
      <c r="N72" s="51" t="str">
        <f t="shared" si="2"/>
        <v xml:space="preserve"> </v>
      </c>
      <c r="O72" s="51"/>
      <c r="P72" s="51" t="str">
        <f t="shared" si="3"/>
        <v xml:space="preserve"> </v>
      </c>
    </row>
    <row r="73" spans="2:24" ht="15" x14ac:dyDescent="0.25">
      <c r="C73" s="94" t="s">
        <v>80</v>
      </c>
      <c r="H73" s="50" t="str">
        <f t="shared" si="4"/>
        <v xml:space="preserve"> </v>
      </c>
      <c r="I73" s="51"/>
      <c r="J73" s="51"/>
      <c r="K73" s="51" t="str">
        <f t="shared" si="0"/>
        <v/>
      </c>
      <c r="L73" s="106" t="str">
        <f t="shared" si="5"/>
        <v xml:space="preserve"> </v>
      </c>
      <c r="M73" s="106" t="str">
        <f t="shared" si="1"/>
        <v xml:space="preserve"> </v>
      </c>
      <c r="N73" s="51" t="str">
        <f t="shared" si="2"/>
        <v xml:space="preserve"> </v>
      </c>
      <c r="O73" s="51"/>
      <c r="P73" s="51" t="str">
        <f t="shared" si="3"/>
        <v xml:space="preserve"> </v>
      </c>
    </row>
    <row r="74" spans="2:24" ht="15" x14ac:dyDescent="0.25">
      <c r="H74" s="50" t="str">
        <f t="shared" si="4"/>
        <v xml:space="preserve"> </v>
      </c>
      <c r="I74" s="51"/>
      <c r="J74" s="51"/>
      <c r="K74" s="51" t="str">
        <f t="shared" si="0"/>
        <v/>
      </c>
      <c r="L74" s="106" t="str">
        <f t="shared" si="5"/>
        <v xml:space="preserve"> </v>
      </c>
      <c r="M74" s="106" t="str">
        <f t="shared" si="1"/>
        <v xml:space="preserve"> </v>
      </c>
      <c r="N74" s="51" t="str">
        <f t="shared" si="2"/>
        <v xml:space="preserve"> </v>
      </c>
      <c r="O74" s="51"/>
      <c r="P74" s="51" t="str">
        <f t="shared" si="3"/>
        <v xml:space="preserve"> </v>
      </c>
    </row>
    <row r="75" spans="2:24" ht="15" x14ac:dyDescent="0.25">
      <c r="H75" s="50" t="str">
        <f t="shared" si="4"/>
        <v xml:space="preserve"> </v>
      </c>
      <c r="I75" s="51"/>
      <c r="J75" s="51"/>
      <c r="K75" s="51" t="str">
        <f t="shared" si="0"/>
        <v/>
      </c>
      <c r="L75" s="106" t="str">
        <f t="shared" si="5"/>
        <v xml:space="preserve"> </v>
      </c>
      <c r="M75" s="106" t="str">
        <f t="shared" si="1"/>
        <v xml:space="preserve"> </v>
      </c>
      <c r="N75" s="51" t="str">
        <f t="shared" si="2"/>
        <v xml:space="preserve"> </v>
      </c>
      <c r="O75" s="51"/>
      <c r="P75" s="51" t="str">
        <f t="shared" si="3"/>
        <v xml:space="preserve"> </v>
      </c>
    </row>
    <row r="76" spans="2:24" ht="15" x14ac:dyDescent="0.25">
      <c r="H76" s="50" t="str">
        <f t="shared" si="4"/>
        <v xml:space="preserve"> </v>
      </c>
      <c r="I76" s="51"/>
      <c r="J76" s="51"/>
      <c r="K76" s="51" t="str">
        <f t="shared" si="0"/>
        <v/>
      </c>
      <c r="L76" s="106" t="str">
        <f t="shared" si="5"/>
        <v xml:space="preserve"> </v>
      </c>
      <c r="M76" s="106" t="str">
        <f t="shared" si="1"/>
        <v xml:space="preserve"> </v>
      </c>
      <c r="N76" s="51" t="str">
        <f t="shared" si="2"/>
        <v xml:space="preserve"> </v>
      </c>
      <c r="O76" s="51"/>
      <c r="P76" s="51" t="str">
        <f t="shared" si="3"/>
        <v xml:space="preserve"> </v>
      </c>
    </row>
    <row r="77" spans="2:24" ht="15" x14ac:dyDescent="0.25">
      <c r="H77" s="50" t="str">
        <f t="shared" si="4"/>
        <v xml:space="preserve"> </v>
      </c>
      <c r="I77" s="51"/>
      <c r="J77" s="51"/>
      <c r="K77" s="51" t="str">
        <f t="shared" si="0"/>
        <v/>
      </c>
      <c r="L77" s="106" t="str">
        <f t="shared" si="5"/>
        <v xml:space="preserve"> </v>
      </c>
      <c r="M77" s="106" t="str">
        <f t="shared" si="1"/>
        <v xml:space="preserve"> </v>
      </c>
      <c r="N77" s="51" t="str">
        <f t="shared" si="2"/>
        <v xml:space="preserve"> </v>
      </c>
      <c r="O77" s="51"/>
      <c r="P77" s="51" t="str">
        <f t="shared" si="3"/>
        <v xml:space="preserve"> </v>
      </c>
    </row>
    <row r="78" spans="2:24" ht="15" x14ac:dyDescent="0.25">
      <c r="H78" s="50" t="str">
        <f t="shared" si="4"/>
        <v xml:space="preserve"> </v>
      </c>
      <c r="I78" s="51"/>
      <c r="J78" s="51"/>
      <c r="K78" s="51" t="str">
        <f t="shared" si="0"/>
        <v/>
      </c>
      <c r="L78" s="106" t="str">
        <f t="shared" si="5"/>
        <v xml:space="preserve"> </v>
      </c>
      <c r="M78" s="106" t="str">
        <f t="shared" si="1"/>
        <v xml:space="preserve"> </v>
      </c>
      <c r="N78" s="51" t="str">
        <f t="shared" si="2"/>
        <v xml:space="preserve"> </v>
      </c>
      <c r="O78" s="51"/>
      <c r="P78" s="51" t="str">
        <f t="shared" si="3"/>
        <v xml:space="preserve"> </v>
      </c>
    </row>
    <row r="79" spans="2:24" ht="15" x14ac:dyDescent="0.25">
      <c r="H79" s="50" t="str">
        <f t="shared" si="4"/>
        <v xml:space="preserve"> </v>
      </c>
      <c r="I79" s="51"/>
      <c r="J79" s="51"/>
      <c r="K79" s="51" t="str">
        <f t="shared" si="0"/>
        <v/>
      </c>
      <c r="L79" s="106" t="str">
        <f t="shared" si="5"/>
        <v xml:space="preserve"> </v>
      </c>
      <c r="M79" s="106" t="str">
        <f t="shared" si="1"/>
        <v xml:space="preserve"> </v>
      </c>
      <c r="N79" s="51" t="str">
        <f t="shared" si="2"/>
        <v xml:space="preserve"> </v>
      </c>
      <c r="O79" s="51"/>
      <c r="P79" s="51" t="str">
        <f t="shared" si="3"/>
        <v xml:space="preserve"> </v>
      </c>
    </row>
    <row r="80" spans="2:24" ht="15" x14ac:dyDescent="0.25">
      <c r="H80" s="50" t="str">
        <f t="shared" si="4"/>
        <v xml:space="preserve"> </v>
      </c>
      <c r="I80" s="51"/>
      <c r="J80" s="51"/>
      <c r="K80" s="51" t="str">
        <f t="shared" si="0"/>
        <v/>
      </c>
      <c r="L80" s="106" t="str">
        <f t="shared" si="5"/>
        <v xml:space="preserve"> </v>
      </c>
      <c r="M80" s="106" t="str">
        <f t="shared" si="1"/>
        <v xml:space="preserve"> </v>
      </c>
      <c r="N80" s="51" t="str">
        <f t="shared" si="2"/>
        <v xml:space="preserve"> </v>
      </c>
      <c r="O80" s="51"/>
      <c r="P80" s="51" t="str">
        <f t="shared" si="3"/>
        <v xml:space="preserve"> </v>
      </c>
    </row>
    <row r="81" spans="8:21" ht="15" x14ac:dyDescent="0.25">
      <c r="H81" s="50" t="str">
        <f t="shared" si="4"/>
        <v xml:space="preserve"> </v>
      </c>
      <c r="I81" s="51"/>
      <c r="J81" s="51"/>
      <c r="K81" s="51" t="str">
        <f t="shared" si="0"/>
        <v/>
      </c>
      <c r="L81" s="106" t="str">
        <f t="shared" si="5"/>
        <v xml:space="preserve"> </v>
      </c>
      <c r="M81" s="106" t="str">
        <f t="shared" si="1"/>
        <v xml:space="preserve"> </v>
      </c>
      <c r="N81" s="51" t="str">
        <f t="shared" si="2"/>
        <v xml:space="preserve"> </v>
      </c>
      <c r="O81" s="51"/>
      <c r="P81" s="51" t="str">
        <f t="shared" si="3"/>
        <v xml:space="preserve"> </v>
      </c>
    </row>
    <row r="82" spans="8:21" ht="15" x14ac:dyDescent="0.25">
      <c r="H82" s="50" t="str">
        <f t="shared" si="4"/>
        <v xml:space="preserve"> </v>
      </c>
      <c r="I82" s="51"/>
      <c r="J82" s="51"/>
      <c r="K82" s="51" t="str">
        <f t="shared" si="0"/>
        <v/>
      </c>
      <c r="L82" s="106" t="str">
        <f t="shared" si="5"/>
        <v xml:space="preserve"> </v>
      </c>
      <c r="M82" s="106" t="str">
        <f t="shared" si="1"/>
        <v xml:space="preserve"> </v>
      </c>
      <c r="N82" s="51" t="str">
        <f t="shared" si="2"/>
        <v xml:space="preserve"> </v>
      </c>
      <c r="O82" s="51"/>
      <c r="P82" s="51" t="str">
        <f t="shared" si="3"/>
        <v xml:space="preserve"> </v>
      </c>
    </row>
    <row r="83" spans="8:21" ht="15" x14ac:dyDescent="0.25">
      <c r="H83" s="50" t="str">
        <f t="shared" si="4"/>
        <v xml:space="preserve"> </v>
      </c>
      <c r="I83" s="51"/>
      <c r="J83" s="51"/>
      <c r="K83" s="51" t="str">
        <f t="shared" ref="K83:K146" si="6">IF(H82&lt;=$U$17,IF(credito="Francesa",IF(H83&lt;=$U$17,$K82,0),IF(credito="Alemana",IF(H83&lt;=$U$17,L83+M83,0))),"")</f>
        <v/>
      </c>
      <c r="L83" s="106" t="str">
        <f t="shared" si="5"/>
        <v xml:space="preserve"> </v>
      </c>
      <c r="M83" s="106" t="str">
        <f t="shared" ref="M83:M146" si="7">IF(H83&lt;=$U$17,IF(credito="Francesa",K83-L83,IF(credito="Alemana",IF(H83&lt;=$U$17,$M82,0)))," ")</f>
        <v xml:space="preserve"> </v>
      </c>
      <c r="N83" s="51" t="str">
        <f t="shared" ref="N83:N146" si="8">IF(H83&lt;=$U$17,N82-M83," ")</f>
        <v xml:space="preserve"> </v>
      </c>
      <c r="O83" s="51"/>
      <c r="P83" s="51" t="str">
        <f t="shared" ref="P83:P146" si="9">IFERROR(SUM(IF(H83&lt;=$U$17,-K83," "),J83)," ")</f>
        <v xml:space="preserve"> </v>
      </c>
    </row>
    <row r="84" spans="8:21" ht="15" x14ac:dyDescent="0.25">
      <c r="H84" s="50" t="str">
        <f t="shared" ref="H84:H147" si="10">IF($H83&gt;=$U$17," ",H83+1)</f>
        <v xml:space="preserve"> </v>
      </c>
      <c r="I84" s="51"/>
      <c r="J84" s="51"/>
      <c r="K84" s="51" t="str">
        <f t="shared" si="6"/>
        <v/>
      </c>
      <c r="L84" s="106" t="str">
        <f t="shared" ref="L84:L147" si="11">IF(H84&lt;=$U$17,N83*$D$28/$D$24," ")</f>
        <v xml:space="preserve"> </v>
      </c>
      <c r="M84" s="106" t="str">
        <f t="shared" si="7"/>
        <v xml:space="preserve"> </v>
      </c>
      <c r="N84" s="51" t="str">
        <f t="shared" si="8"/>
        <v xml:space="preserve"> </v>
      </c>
      <c r="O84" s="51"/>
      <c r="P84" s="51" t="str">
        <f t="shared" si="9"/>
        <v xml:space="preserve"> </v>
      </c>
    </row>
    <row r="85" spans="8:21" ht="15" x14ac:dyDescent="0.25">
      <c r="H85" s="50" t="str">
        <f t="shared" si="10"/>
        <v xml:space="preserve"> </v>
      </c>
      <c r="I85" s="51"/>
      <c r="J85" s="51"/>
      <c r="K85" s="51" t="str">
        <f t="shared" si="6"/>
        <v/>
      </c>
      <c r="L85" s="106" t="str">
        <f t="shared" si="11"/>
        <v xml:space="preserve"> </v>
      </c>
      <c r="M85" s="106" t="str">
        <f t="shared" si="7"/>
        <v xml:space="preserve"> </v>
      </c>
      <c r="N85" s="51" t="str">
        <f t="shared" si="8"/>
        <v xml:space="preserve"> </v>
      </c>
      <c r="O85" s="51"/>
      <c r="P85" s="51" t="str">
        <f t="shared" si="9"/>
        <v xml:space="preserve"> </v>
      </c>
    </row>
    <row r="86" spans="8:21" ht="15" x14ac:dyDescent="0.25">
      <c r="H86" s="50" t="str">
        <f t="shared" si="10"/>
        <v xml:space="preserve"> </v>
      </c>
      <c r="I86" s="51"/>
      <c r="J86" s="51"/>
      <c r="K86" s="51" t="str">
        <f t="shared" si="6"/>
        <v/>
      </c>
      <c r="L86" s="106" t="str">
        <f t="shared" si="11"/>
        <v xml:space="preserve"> </v>
      </c>
      <c r="M86" s="106" t="str">
        <f t="shared" si="7"/>
        <v xml:space="preserve"> </v>
      </c>
      <c r="N86" s="51" t="str">
        <f t="shared" si="8"/>
        <v xml:space="preserve"> </v>
      </c>
      <c r="O86" s="51"/>
      <c r="P86" s="51" t="str">
        <f t="shared" si="9"/>
        <v xml:space="preserve"> </v>
      </c>
    </row>
    <row r="87" spans="8:21" ht="15" x14ac:dyDescent="0.25">
      <c r="H87" s="50" t="str">
        <f t="shared" si="10"/>
        <v xml:space="preserve"> </v>
      </c>
      <c r="I87" s="51"/>
      <c r="J87" s="51"/>
      <c r="K87" s="51" t="str">
        <f t="shared" si="6"/>
        <v/>
      </c>
      <c r="L87" s="106" t="str">
        <f t="shared" si="11"/>
        <v xml:space="preserve"> </v>
      </c>
      <c r="M87" s="106" t="str">
        <f t="shared" si="7"/>
        <v xml:space="preserve"> </v>
      </c>
      <c r="N87" s="51" t="str">
        <f t="shared" si="8"/>
        <v xml:space="preserve"> </v>
      </c>
      <c r="O87" s="51"/>
      <c r="P87" s="51" t="str">
        <f t="shared" si="9"/>
        <v xml:space="preserve"> </v>
      </c>
    </row>
    <row r="88" spans="8:21" ht="28.5" x14ac:dyDescent="0.45">
      <c r="H88" s="50" t="str">
        <f t="shared" si="10"/>
        <v xml:space="preserve"> </v>
      </c>
      <c r="I88" s="51"/>
      <c r="J88" s="51"/>
      <c r="K88" s="51" t="str">
        <f t="shared" si="6"/>
        <v/>
      </c>
      <c r="L88" s="106" t="str">
        <f t="shared" si="11"/>
        <v xml:space="preserve"> </v>
      </c>
      <c r="M88" s="106" t="str">
        <f t="shared" si="7"/>
        <v xml:space="preserve"> </v>
      </c>
      <c r="N88" s="51" t="str">
        <f t="shared" si="8"/>
        <v xml:space="preserve"> </v>
      </c>
      <c r="O88" s="51"/>
      <c r="P88" s="51" t="str">
        <f t="shared" si="9"/>
        <v xml:space="preserve"> </v>
      </c>
      <c r="T88" s="185"/>
      <c r="U88" s="185"/>
    </row>
    <row r="89" spans="8:21" ht="15" x14ac:dyDescent="0.25">
      <c r="H89" s="50" t="str">
        <f t="shared" si="10"/>
        <v xml:space="preserve"> </v>
      </c>
      <c r="I89" s="51"/>
      <c r="J89" s="51"/>
      <c r="K89" s="51" t="str">
        <f t="shared" si="6"/>
        <v/>
      </c>
      <c r="L89" s="106" t="str">
        <f t="shared" si="11"/>
        <v xml:space="preserve"> </v>
      </c>
      <c r="M89" s="106" t="str">
        <f t="shared" si="7"/>
        <v xml:space="preserve"> </v>
      </c>
      <c r="N89" s="51" t="str">
        <f t="shared" si="8"/>
        <v xml:space="preserve"> </v>
      </c>
      <c r="O89" s="51"/>
      <c r="P89" s="51" t="str">
        <f t="shared" si="9"/>
        <v xml:space="preserve"> </v>
      </c>
    </row>
    <row r="90" spans="8:21" ht="15" x14ac:dyDescent="0.25">
      <c r="H90" s="50" t="str">
        <f t="shared" si="10"/>
        <v xml:space="preserve"> </v>
      </c>
      <c r="I90" s="51"/>
      <c r="J90" s="51"/>
      <c r="K90" s="51" t="str">
        <f t="shared" si="6"/>
        <v/>
      </c>
      <c r="L90" s="106" t="str">
        <f t="shared" si="11"/>
        <v xml:space="preserve"> </v>
      </c>
      <c r="M90" s="106" t="str">
        <f t="shared" si="7"/>
        <v xml:space="preserve"> </v>
      </c>
      <c r="N90" s="51" t="str">
        <f t="shared" si="8"/>
        <v xml:space="preserve"> </v>
      </c>
      <c r="O90" s="51"/>
      <c r="P90" s="51" t="str">
        <f t="shared" si="9"/>
        <v xml:space="preserve"> </v>
      </c>
    </row>
    <row r="91" spans="8:21" ht="15" x14ac:dyDescent="0.25">
      <c r="H91" s="50" t="str">
        <f t="shared" si="10"/>
        <v xml:space="preserve"> </v>
      </c>
      <c r="I91" s="51"/>
      <c r="J91" s="51"/>
      <c r="K91" s="51" t="str">
        <f t="shared" si="6"/>
        <v/>
      </c>
      <c r="L91" s="106" t="str">
        <f t="shared" si="11"/>
        <v xml:space="preserve"> </v>
      </c>
      <c r="M91" s="106" t="str">
        <f t="shared" si="7"/>
        <v xml:space="preserve"> </v>
      </c>
      <c r="N91" s="51" t="str">
        <f t="shared" si="8"/>
        <v xml:space="preserve"> </v>
      </c>
      <c r="O91" s="51"/>
      <c r="P91" s="51" t="str">
        <f t="shared" si="9"/>
        <v xml:space="preserve"> </v>
      </c>
    </row>
    <row r="92" spans="8:21" ht="15" x14ac:dyDescent="0.25">
      <c r="H92" s="50" t="str">
        <f t="shared" si="10"/>
        <v xml:space="preserve"> </v>
      </c>
      <c r="I92" s="51"/>
      <c r="J92" s="51"/>
      <c r="K92" s="51" t="str">
        <f t="shared" si="6"/>
        <v/>
      </c>
      <c r="L92" s="106" t="str">
        <f t="shared" si="11"/>
        <v xml:space="preserve"> </v>
      </c>
      <c r="M92" s="106" t="str">
        <f t="shared" si="7"/>
        <v xml:space="preserve"> </v>
      </c>
      <c r="N92" s="51" t="str">
        <f t="shared" si="8"/>
        <v xml:space="preserve"> </v>
      </c>
      <c r="O92" s="51"/>
      <c r="P92" s="51" t="str">
        <f t="shared" si="9"/>
        <v xml:space="preserve"> </v>
      </c>
    </row>
    <row r="93" spans="8:21" ht="15" x14ac:dyDescent="0.25">
      <c r="H93" s="50" t="str">
        <f t="shared" si="10"/>
        <v xml:space="preserve"> </v>
      </c>
      <c r="I93" s="51"/>
      <c r="J93" s="51"/>
      <c r="K93" s="51" t="str">
        <f t="shared" si="6"/>
        <v/>
      </c>
      <c r="L93" s="106" t="str">
        <f t="shared" si="11"/>
        <v xml:space="preserve"> </v>
      </c>
      <c r="M93" s="106" t="str">
        <f t="shared" si="7"/>
        <v xml:space="preserve"> </v>
      </c>
      <c r="N93" s="51" t="str">
        <f t="shared" si="8"/>
        <v xml:space="preserve"> </v>
      </c>
      <c r="O93" s="51"/>
      <c r="P93" s="51" t="str">
        <f t="shared" si="9"/>
        <v xml:space="preserve"> </v>
      </c>
    </row>
    <row r="94" spans="8:21" ht="15" x14ac:dyDescent="0.25">
      <c r="H94" s="50" t="str">
        <f t="shared" si="10"/>
        <v xml:space="preserve"> </v>
      </c>
      <c r="I94" s="51"/>
      <c r="J94" s="51"/>
      <c r="K94" s="51" t="str">
        <f t="shared" si="6"/>
        <v/>
      </c>
      <c r="L94" s="106" t="str">
        <f t="shared" si="11"/>
        <v xml:space="preserve"> </v>
      </c>
      <c r="M94" s="106" t="str">
        <f t="shared" si="7"/>
        <v xml:space="preserve"> </v>
      </c>
      <c r="N94" s="51" t="str">
        <f t="shared" si="8"/>
        <v xml:space="preserve"> </v>
      </c>
      <c r="O94" s="51"/>
      <c r="P94" s="51" t="str">
        <f t="shared" si="9"/>
        <v xml:space="preserve"> </v>
      </c>
    </row>
    <row r="95" spans="8:21" ht="15" x14ac:dyDescent="0.25">
      <c r="H95" s="50" t="str">
        <f t="shared" si="10"/>
        <v xml:space="preserve"> </v>
      </c>
      <c r="I95" s="51"/>
      <c r="J95" s="51"/>
      <c r="K95" s="51" t="str">
        <f t="shared" si="6"/>
        <v/>
      </c>
      <c r="L95" s="106" t="str">
        <f t="shared" si="11"/>
        <v xml:space="preserve"> </v>
      </c>
      <c r="M95" s="106" t="str">
        <f t="shared" si="7"/>
        <v xml:space="preserve"> </v>
      </c>
      <c r="N95" s="51" t="str">
        <f t="shared" si="8"/>
        <v xml:space="preserve"> </v>
      </c>
      <c r="O95" s="51"/>
      <c r="P95" s="51" t="str">
        <f t="shared" si="9"/>
        <v xml:space="preserve"> </v>
      </c>
    </row>
    <row r="96" spans="8:21" ht="15" x14ac:dyDescent="0.25">
      <c r="H96" s="50" t="str">
        <f t="shared" si="10"/>
        <v xml:space="preserve"> </v>
      </c>
      <c r="I96" s="51"/>
      <c r="J96" s="51"/>
      <c r="K96" s="51" t="str">
        <f t="shared" si="6"/>
        <v/>
      </c>
      <c r="L96" s="106" t="str">
        <f t="shared" si="11"/>
        <v xml:space="preserve"> </v>
      </c>
      <c r="M96" s="106" t="str">
        <f t="shared" si="7"/>
        <v xml:space="preserve"> </v>
      </c>
      <c r="N96" s="51" t="str">
        <f t="shared" si="8"/>
        <v xml:space="preserve"> </v>
      </c>
      <c r="O96" s="51"/>
      <c r="P96" s="51" t="str">
        <f t="shared" si="9"/>
        <v xml:space="preserve"> </v>
      </c>
    </row>
    <row r="97" spans="8:16" ht="15" x14ac:dyDescent="0.25">
      <c r="H97" s="50" t="str">
        <f t="shared" si="10"/>
        <v xml:space="preserve"> </v>
      </c>
      <c r="I97" s="51"/>
      <c r="J97" s="51"/>
      <c r="K97" s="51" t="str">
        <f t="shared" si="6"/>
        <v/>
      </c>
      <c r="L97" s="106" t="str">
        <f t="shared" si="11"/>
        <v xml:space="preserve"> </v>
      </c>
      <c r="M97" s="106" t="str">
        <f t="shared" si="7"/>
        <v xml:space="preserve"> </v>
      </c>
      <c r="N97" s="51" t="str">
        <f t="shared" si="8"/>
        <v xml:space="preserve"> </v>
      </c>
      <c r="O97" s="51"/>
      <c r="P97" s="51" t="str">
        <f t="shared" si="9"/>
        <v xml:space="preserve"> </v>
      </c>
    </row>
    <row r="98" spans="8:16" ht="15" x14ac:dyDescent="0.25">
      <c r="H98" s="50" t="str">
        <f t="shared" si="10"/>
        <v xml:space="preserve"> </v>
      </c>
      <c r="I98" s="51"/>
      <c r="J98" s="51"/>
      <c r="K98" s="51" t="str">
        <f t="shared" si="6"/>
        <v/>
      </c>
      <c r="L98" s="106" t="str">
        <f t="shared" si="11"/>
        <v xml:space="preserve"> </v>
      </c>
      <c r="M98" s="106" t="str">
        <f t="shared" si="7"/>
        <v xml:space="preserve"> </v>
      </c>
      <c r="N98" s="51" t="str">
        <f t="shared" si="8"/>
        <v xml:space="preserve"> </v>
      </c>
      <c r="O98" s="51"/>
      <c r="P98" s="51" t="str">
        <f t="shared" si="9"/>
        <v xml:space="preserve"> </v>
      </c>
    </row>
    <row r="99" spans="8:16" ht="15" x14ac:dyDescent="0.25">
      <c r="H99" s="50" t="str">
        <f t="shared" si="10"/>
        <v xml:space="preserve"> </v>
      </c>
      <c r="I99" s="51"/>
      <c r="J99" s="51"/>
      <c r="K99" s="51" t="str">
        <f t="shared" si="6"/>
        <v/>
      </c>
      <c r="L99" s="106" t="str">
        <f t="shared" si="11"/>
        <v xml:space="preserve"> </v>
      </c>
      <c r="M99" s="106" t="str">
        <f t="shared" si="7"/>
        <v xml:space="preserve"> </v>
      </c>
      <c r="N99" s="51" t="str">
        <f t="shared" si="8"/>
        <v xml:space="preserve"> </v>
      </c>
      <c r="O99" s="51"/>
      <c r="P99" s="51" t="str">
        <f t="shared" si="9"/>
        <v xml:space="preserve"> </v>
      </c>
    </row>
    <row r="100" spans="8:16" ht="15" x14ac:dyDescent="0.25">
      <c r="H100" s="50" t="str">
        <f t="shared" si="10"/>
        <v xml:space="preserve"> </v>
      </c>
      <c r="I100" s="51"/>
      <c r="J100" s="51"/>
      <c r="K100" s="51" t="str">
        <f t="shared" si="6"/>
        <v/>
      </c>
      <c r="L100" s="106" t="str">
        <f t="shared" si="11"/>
        <v xml:space="preserve"> </v>
      </c>
      <c r="M100" s="106" t="str">
        <f t="shared" si="7"/>
        <v xml:space="preserve"> </v>
      </c>
      <c r="N100" s="51" t="str">
        <f t="shared" si="8"/>
        <v xml:space="preserve"> </v>
      </c>
      <c r="O100" s="51"/>
      <c r="P100" s="51" t="str">
        <f t="shared" si="9"/>
        <v xml:space="preserve"> </v>
      </c>
    </row>
    <row r="101" spans="8:16" ht="15" x14ac:dyDescent="0.25">
      <c r="H101" s="50" t="str">
        <f t="shared" si="10"/>
        <v xml:space="preserve"> </v>
      </c>
      <c r="I101" s="51"/>
      <c r="J101" s="51"/>
      <c r="K101" s="51" t="str">
        <f t="shared" si="6"/>
        <v/>
      </c>
      <c r="L101" s="106" t="str">
        <f t="shared" si="11"/>
        <v xml:space="preserve"> </v>
      </c>
      <c r="M101" s="106" t="str">
        <f t="shared" si="7"/>
        <v xml:space="preserve"> </v>
      </c>
      <c r="N101" s="51" t="str">
        <f t="shared" si="8"/>
        <v xml:space="preserve"> </v>
      </c>
      <c r="O101" s="51"/>
      <c r="P101" s="51" t="str">
        <f t="shared" si="9"/>
        <v xml:space="preserve"> </v>
      </c>
    </row>
    <row r="102" spans="8:16" ht="15" x14ac:dyDescent="0.25">
      <c r="H102" s="50" t="str">
        <f t="shared" si="10"/>
        <v xml:space="preserve"> </v>
      </c>
      <c r="I102" s="51"/>
      <c r="J102" s="51"/>
      <c r="K102" s="51" t="str">
        <f t="shared" si="6"/>
        <v/>
      </c>
      <c r="L102" s="106" t="str">
        <f t="shared" si="11"/>
        <v xml:space="preserve"> </v>
      </c>
      <c r="M102" s="106" t="str">
        <f t="shared" si="7"/>
        <v xml:space="preserve"> </v>
      </c>
      <c r="N102" s="51" t="str">
        <f t="shared" si="8"/>
        <v xml:space="preserve"> </v>
      </c>
      <c r="O102" s="51"/>
      <c r="P102" s="51" t="str">
        <f t="shared" si="9"/>
        <v xml:space="preserve"> </v>
      </c>
    </row>
    <row r="103" spans="8:16" ht="15" x14ac:dyDescent="0.25">
      <c r="H103" s="50" t="str">
        <f t="shared" si="10"/>
        <v xml:space="preserve"> </v>
      </c>
      <c r="I103" s="51"/>
      <c r="J103" s="51"/>
      <c r="K103" s="51" t="str">
        <f t="shared" si="6"/>
        <v/>
      </c>
      <c r="L103" s="106" t="str">
        <f t="shared" si="11"/>
        <v xml:space="preserve"> </v>
      </c>
      <c r="M103" s="106" t="str">
        <f t="shared" si="7"/>
        <v xml:space="preserve"> </v>
      </c>
      <c r="N103" s="51" t="str">
        <f t="shared" si="8"/>
        <v xml:space="preserve"> </v>
      </c>
      <c r="O103" s="51"/>
      <c r="P103" s="51" t="str">
        <f t="shared" si="9"/>
        <v xml:space="preserve"> </v>
      </c>
    </row>
    <row r="104" spans="8:16" ht="15" x14ac:dyDescent="0.25">
      <c r="H104" s="50" t="str">
        <f t="shared" si="10"/>
        <v xml:space="preserve"> </v>
      </c>
      <c r="I104" s="51"/>
      <c r="J104" s="51"/>
      <c r="K104" s="51" t="str">
        <f t="shared" si="6"/>
        <v/>
      </c>
      <c r="L104" s="106" t="str">
        <f t="shared" si="11"/>
        <v xml:space="preserve"> </v>
      </c>
      <c r="M104" s="106" t="str">
        <f t="shared" si="7"/>
        <v xml:space="preserve"> </v>
      </c>
      <c r="N104" s="51" t="str">
        <f t="shared" si="8"/>
        <v xml:space="preserve"> </v>
      </c>
      <c r="O104" s="51"/>
      <c r="P104" s="51" t="str">
        <f t="shared" si="9"/>
        <v xml:space="preserve"> </v>
      </c>
    </row>
    <row r="105" spans="8:16" ht="15" x14ac:dyDescent="0.25">
      <c r="H105" s="50" t="str">
        <f t="shared" si="10"/>
        <v xml:space="preserve"> </v>
      </c>
      <c r="I105" s="51"/>
      <c r="J105" s="51"/>
      <c r="K105" s="51" t="str">
        <f t="shared" si="6"/>
        <v/>
      </c>
      <c r="L105" s="106" t="str">
        <f t="shared" si="11"/>
        <v xml:space="preserve"> </v>
      </c>
      <c r="M105" s="106" t="str">
        <f t="shared" si="7"/>
        <v xml:space="preserve"> </v>
      </c>
      <c r="N105" s="51" t="str">
        <f t="shared" si="8"/>
        <v xml:space="preserve"> </v>
      </c>
      <c r="O105" s="51"/>
      <c r="P105" s="51" t="str">
        <f t="shared" si="9"/>
        <v xml:space="preserve"> </v>
      </c>
    </row>
    <row r="106" spans="8:16" ht="15" x14ac:dyDescent="0.25">
      <c r="H106" s="50" t="str">
        <f t="shared" si="10"/>
        <v xml:space="preserve"> </v>
      </c>
      <c r="I106" s="51"/>
      <c r="J106" s="51"/>
      <c r="K106" s="51" t="str">
        <f t="shared" si="6"/>
        <v/>
      </c>
      <c r="L106" s="106" t="str">
        <f t="shared" si="11"/>
        <v xml:space="preserve"> </v>
      </c>
      <c r="M106" s="106" t="str">
        <f t="shared" si="7"/>
        <v xml:space="preserve"> </v>
      </c>
      <c r="N106" s="51" t="str">
        <f t="shared" si="8"/>
        <v xml:space="preserve"> </v>
      </c>
      <c r="O106" s="51"/>
      <c r="P106" s="51" t="str">
        <f t="shared" si="9"/>
        <v xml:space="preserve"> </v>
      </c>
    </row>
    <row r="107" spans="8:16" ht="15" x14ac:dyDescent="0.25">
      <c r="H107" s="50" t="str">
        <f t="shared" si="10"/>
        <v xml:space="preserve"> </v>
      </c>
      <c r="I107" s="51"/>
      <c r="J107" s="51"/>
      <c r="K107" s="51" t="str">
        <f t="shared" si="6"/>
        <v/>
      </c>
      <c r="L107" s="106" t="str">
        <f t="shared" si="11"/>
        <v xml:space="preserve"> </v>
      </c>
      <c r="M107" s="106" t="str">
        <f t="shared" si="7"/>
        <v xml:space="preserve"> </v>
      </c>
      <c r="N107" s="51" t="str">
        <f t="shared" si="8"/>
        <v xml:space="preserve"> </v>
      </c>
      <c r="O107" s="51"/>
      <c r="P107" s="51" t="str">
        <f t="shared" si="9"/>
        <v xml:space="preserve"> </v>
      </c>
    </row>
    <row r="108" spans="8:16" ht="15" x14ac:dyDescent="0.25">
      <c r="H108" s="50" t="str">
        <f t="shared" si="10"/>
        <v xml:space="preserve"> </v>
      </c>
      <c r="I108" s="51"/>
      <c r="J108" s="51"/>
      <c r="K108" s="51" t="str">
        <f t="shared" si="6"/>
        <v/>
      </c>
      <c r="L108" s="106" t="str">
        <f t="shared" si="11"/>
        <v xml:space="preserve"> </v>
      </c>
      <c r="M108" s="106" t="str">
        <f t="shared" si="7"/>
        <v xml:space="preserve"> </v>
      </c>
      <c r="N108" s="51" t="str">
        <f t="shared" si="8"/>
        <v xml:space="preserve"> </v>
      </c>
      <c r="O108" s="51"/>
      <c r="P108" s="51" t="str">
        <f t="shared" si="9"/>
        <v xml:space="preserve"> </v>
      </c>
    </row>
    <row r="109" spans="8:16" ht="15" x14ac:dyDescent="0.25">
      <c r="H109" s="50" t="str">
        <f t="shared" si="10"/>
        <v xml:space="preserve"> </v>
      </c>
      <c r="I109" s="51"/>
      <c r="J109" s="51"/>
      <c r="K109" s="51" t="str">
        <f t="shared" si="6"/>
        <v/>
      </c>
      <c r="L109" s="106" t="str">
        <f t="shared" si="11"/>
        <v xml:space="preserve"> </v>
      </c>
      <c r="M109" s="106" t="str">
        <f t="shared" si="7"/>
        <v xml:space="preserve"> </v>
      </c>
      <c r="N109" s="51" t="str">
        <f t="shared" si="8"/>
        <v xml:space="preserve"> </v>
      </c>
      <c r="O109" s="51"/>
      <c r="P109" s="51" t="str">
        <f t="shared" si="9"/>
        <v xml:space="preserve"> </v>
      </c>
    </row>
    <row r="110" spans="8:16" ht="15" x14ac:dyDescent="0.25">
      <c r="H110" s="50" t="str">
        <f t="shared" si="10"/>
        <v xml:space="preserve"> </v>
      </c>
      <c r="I110" s="51"/>
      <c r="J110" s="51"/>
      <c r="K110" s="51" t="str">
        <f t="shared" si="6"/>
        <v/>
      </c>
      <c r="L110" s="106" t="str">
        <f t="shared" si="11"/>
        <v xml:space="preserve"> </v>
      </c>
      <c r="M110" s="106" t="str">
        <f t="shared" si="7"/>
        <v xml:space="preserve"> </v>
      </c>
      <c r="N110" s="51" t="str">
        <f t="shared" si="8"/>
        <v xml:space="preserve"> </v>
      </c>
      <c r="O110" s="51"/>
      <c r="P110" s="51" t="str">
        <f t="shared" si="9"/>
        <v xml:space="preserve"> </v>
      </c>
    </row>
    <row r="111" spans="8:16" ht="15" x14ac:dyDescent="0.25">
      <c r="H111" s="50" t="str">
        <f t="shared" si="10"/>
        <v xml:space="preserve"> </v>
      </c>
      <c r="I111" s="51"/>
      <c r="J111" s="51"/>
      <c r="K111" s="51" t="str">
        <f t="shared" si="6"/>
        <v/>
      </c>
      <c r="L111" s="106" t="str">
        <f t="shared" si="11"/>
        <v xml:space="preserve"> </v>
      </c>
      <c r="M111" s="106" t="str">
        <f t="shared" si="7"/>
        <v xml:space="preserve"> </v>
      </c>
      <c r="N111" s="51" t="str">
        <f t="shared" si="8"/>
        <v xml:space="preserve"> </v>
      </c>
      <c r="O111" s="51"/>
      <c r="P111" s="51" t="str">
        <f t="shared" si="9"/>
        <v xml:space="preserve"> </v>
      </c>
    </row>
    <row r="112" spans="8:16" ht="15" x14ac:dyDescent="0.25">
      <c r="H112" s="50" t="str">
        <f t="shared" si="10"/>
        <v xml:space="preserve"> </v>
      </c>
      <c r="I112" s="51"/>
      <c r="J112" s="51"/>
      <c r="K112" s="51" t="str">
        <f t="shared" si="6"/>
        <v/>
      </c>
      <c r="L112" s="106" t="str">
        <f t="shared" si="11"/>
        <v xml:space="preserve"> </v>
      </c>
      <c r="M112" s="106" t="str">
        <f t="shared" si="7"/>
        <v xml:space="preserve"> </v>
      </c>
      <c r="N112" s="51" t="str">
        <f t="shared" si="8"/>
        <v xml:space="preserve"> </v>
      </c>
      <c r="O112" s="51"/>
      <c r="P112" s="51" t="str">
        <f t="shared" si="9"/>
        <v xml:space="preserve"> </v>
      </c>
    </row>
    <row r="113" spans="8:16" ht="15" x14ac:dyDescent="0.25">
      <c r="H113" s="50" t="str">
        <f t="shared" si="10"/>
        <v xml:space="preserve"> </v>
      </c>
      <c r="I113" s="51"/>
      <c r="J113" s="51"/>
      <c r="K113" s="51" t="str">
        <f t="shared" si="6"/>
        <v/>
      </c>
      <c r="L113" s="106" t="str">
        <f t="shared" si="11"/>
        <v xml:space="preserve"> </v>
      </c>
      <c r="M113" s="106" t="str">
        <f t="shared" si="7"/>
        <v xml:space="preserve"> </v>
      </c>
      <c r="N113" s="51" t="str">
        <f t="shared" si="8"/>
        <v xml:space="preserve"> </v>
      </c>
      <c r="O113" s="51"/>
      <c r="P113" s="51" t="str">
        <f t="shared" si="9"/>
        <v xml:space="preserve"> </v>
      </c>
    </row>
    <row r="114" spans="8:16" ht="15" x14ac:dyDescent="0.25">
      <c r="H114" s="50" t="str">
        <f t="shared" si="10"/>
        <v xml:space="preserve"> </v>
      </c>
      <c r="I114" s="51"/>
      <c r="J114" s="51"/>
      <c r="K114" s="51" t="str">
        <f t="shared" si="6"/>
        <v/>
      </c>
      <c r="L114" s="106" t="str">
        <f t="shared" si="11"/>
        <v xml:space="preserve"> </v>
      </c>
      <c r="M114" s="106" t="str">
        <f t="shared" si="7"/>
        <v xml:space="preserve"> </v>
      </c>
      <c r="N114" s="51" t="str">
        <f t="shared" si="8"/>
        <v xml:space="preserve"> </v>
      </c>
      <c r="O114" s="51"/>
      <c r="P114" s="51" t="str">
        <f t="shared" si="9"/>
        <v xml:space="preserve"> </v>
      </c>
    </row>
    <row r="115" spans="8:16" ht="15" x14ac:dyDescent="0.25">
      <c r="H115" s="50" t="str">
        <f t="shared" si="10"/>
        <v xml:space="preserve"> </v>
      </c>
      <c r="I115" s="51"/>
      <c r="J115" s="51"/>
      <c r="K115" s="51" t="str">
        <f t="shared" si="6"/>
        <v/>
      </c>
      <c r="L115" s="106" t="str">
        <f t="shared" si="11"/>
        <v xml:space="preserve"> </v>
      </c>
      <c r="M115" s="106" t="str">
        <f t="shared" si="7"/>
        <v xml:space="preserve"> </v>
      </c>
      <c r="N115" s="51" t="str">
        <f t="shared" si="8"/>
        <v xml:space="preserve"> </v>
      </c>
      <c r="O115" s="51"/>
      <c r="P115" s="51" t="str">
        <f t="shared" si="9"/>
        <v xml:space="preserve"> </v>
      </c>
    </row>
    <row r="116" spans="8:16" ht="15" x14ac:dyDescent="0.25">
      <c r="H116" s="50" t="str">
        <f t="shared" si="10"/>
        <v xml:space="preserve"> </v>
      </c>
      <c r="I116" s="51"/>
      <c r="J116" s="51"/>
      <c r="K116" s="51" t="str">
        <f t="shared" si="6"/>
        <v/>
      </c>
      <c r="L116" s="106" t="str">
        <f t="shared" si="11"/>
        <v xml:space="preserve"> </v>
      </c>
      <c r="M116" s="106" t="str">
        <f t="shared" si="7"/>
        <v xml:space="preserve"> </v>
      </c>
      <c r="N116" s="51" t="str">
        <f t="shared" si="8"/>
        <v xml:space="preserve"> </v>
      </c>
      <c r="O116" s="51"/>
      <c r="P116" s="51" t="str">
        <f t="shared" si="9"/>
        <v xml:space="preserve"> </v>
      </c>
    </row>
    <row r="117" spans="8:16" ht="15" x14ac:dyDescent="0.25">
      <c r="H117" s="50" t="str">
        <f t="shared" si="10"/>
        <v xml:space="preserve"> </v>
      </c>
      <c r="I117" s="51"/>
      <c r="J117" s="51"/>
      <c r="K117" s="51" t="str">
        <f t="shared" si="6"/>
        <v/>
      </c>
      <c r="L117" s="106" t="str">
        <f t="shared" si="11"/>
        <v xml:space="preserve"> </v>
      </c>
      <c r="M117" s="106" t="str">
        <f t="shared" si="7"/>
        <v xml:space="preserve"> </v>
      </c>
      <c r="N117" s="51" t="str">
        <f t="shared" si="8"/>
        <v xml:space="preserve"> </v>
      </c>
      <c r="O117" s="51"/>
      <c r="P117" s="51" t="str">
        <f t="shared" si="9"/>
        <v xml:space="preserve"> </v>
      </c>
    </row>
    <row r="118" spans="8:16" ht="15" x14ac:dyDescent="0.25">
      <c r="H118" s="50" t="str">
        <f t="shared" si="10"/>
        <v xml:space="preserve"> </v>
      </c>
      <c r="I118" s="51"/>
      <c r="J118" s="51"/>
      <c r="K118" s="51" t="str">
        <f t="shared" si="6"/>
        <v/>
      </c>
      <c r="L118" s="106" t="str">
        <f t="shared" si="11"/>
        <v xml:space="preserve"> </v>
      </c>
      <c r="M118" s="106" t="str">
        <f t="shared" si="7"/>
        <v xml:space="preserve"> </v>
      </c>
      <c r="N118" s="51" t="str">
        <f t="shared" si="8"/>
        <v xml:space="preserve"> </v>
      </c>
      <c r="O118" s="51"/>
      <c r="P118" s="51" t="str">
        <f t="shared" si="9"/>
        <v xml:space="preserve"> </v>
      </c>
    </row>
    <row r="119" spans="8:16" ht="15" x14ac:dyDescent="0.25">
      <c r="H119" s="50" t="str">
        <f t="shared" si="10"/>
        <v xml:space="preserve"> </v>
      </c>
      <c r="I119" s="51"/>
      <c r="J119" s="51"/>
      <c r="K119" s="51" t="str">
        <f t="shared" si="6"/>
        <v/>
      </c>
      <c r="L119" s="106" t="str">
        <f t="shared" si="11"/>
        <v xml:space="preserve"> </v>
      </c>
      <c r="M119" s="106" t="str">
        <f t="shared" si="7"/>
        <v xml:space="preserve"> </v>
      </c>
      <c r="N119" s="51" t="str">
        <f t="shared" si="8"/>
        <v xml:space="preserve"> </v>
      </c>
      <c r="O119" s="51"/>
      <c r="P119" s="51" t="str">
        <f t="shared" si="9"/>
        <v xml:space="preserve"> </v>
      </c>
    </row>
    <row r="120" spans="8:16" ht="15" x14ac:dyDescent="0.25">
      <c r="H120" s="50" t="str">
        <f t="shared" si="10"/>
        <v xml:space="preserve"> </v>
      </c>
      <c r="I120" s="51"/>
      <c r="J120" s="51"/>
      <c r="K120" s="51" t="str">
        <f t="shared" si="6"/>
        <v/>
      </c>
      <c r="L120" s="106" t="str">
        <f t="shared" si="11"/>
        <v xml:space="preserve"> </v>
      </c>
      <c r="M120" s="106" t="str">
        <f t="shared" si="7"/>
        <v xml:space="preserve"> </v>
      </c>
      <c r="N120" s="51" t="str">
        <f t="shared" si="8"/>
        <v xml:space="preserve"> </v>
      </c>
      <c r="O120" s="51"/>
      <c r="P120" s="51" t="str">
        <f t="shared" si="9"/>
        <v xml:space="preserve"> </v>
      </c>
    </row>
    <row r="121" spans="8:16" ht="15" x14ac:dyDescent="0.25">
      <c r="H121" s="50" t="str">
        <f t="shared" si="10"/>
        <v xml:space="preserve"> </v>
      </c>
      <c r="I121" s="51"/>
      <c r="J121" s="51"/>
      <c r="K121" s="51" t="str">
        <f t="shared" si="6"/>
        <v/>
      </c>
      <c r="L121" s="106" t="str">
        <f t="shared" si="11"/>
        <v xml:space="preserve"> </v>
      </c>
      <c r="M121" s="106" t="str">
        <f t="shared" si="7"/>
        <v xml:space="preserve"> </v>
      </c>
      <c r="N121" s="51" t="str">
        <f t="shared" si="8"/>
        <v xml:space="preserve"> </v>
      </c>
      <c r="O121" s="51"/>
      <c r="P121" s="51" t="str">
        <f t="shared" si="9"/>
        <v xml:space="preserve"> </v>
      </c>
    </row>
    <row r="122" spans="8:16" ht="15" x14ac:dyDescent="0.25">
      <c r="H122" s="50" t="str">
        <f t="shared" si="10"/>
        <v xml:space="preserve"> </v>
      </c>
      <c r="I122" s="51"/>
      <c r="J122" s="51"/>
      <c r="K122" s="51" t="str">
        <f t="shared" si="6"/>
        <v/>
      </c>
      <c r="L122" s="106" t="str">
        <f t="shared" si="11"/>
        <v xml:space="preserve"> </v>
      </c>
      <c r="M122" s="106" t="str">
        <f t="shared" si="7"/>
        <v xml:space="preserve"> </v>
      </c>
      <c r="N122" s="51" t="str">
        <f t="shared" si="8"/>
        <v xml:space="preserve"> </v>
      </c>
      <c r="O122" s="51"/>
      <c r="P122" s="51" t="str">
        <f t="shared" si="9"/>
        <v xml:space="preserve"> </v>
      </c>
    </row>
    <row r="123" spans="8:16" ht="15" x14ac:dyDescent="0.25">
      <c r="H123" s="50" t="str">
        <f t="shared" si="10"/>
        <v xml:space="preserve"> </v>
      </c>
      <c r="I123" s="51"/>
      <c r="J123" s="51"/>
      <c r="K123" s="51" t="str">
        <f t="shared" si="6"/>
        <v/>
      </c>
      <c r="L123" s="106" t="str">
        <f t="shared" si="11"/>
        <v xml:space="preserve"> </v>
      </c>
      <c r="M123" s="106" t="str">
        <f t="shared" si="7"/>
        <v xml:space="preserve"> </v>
      </c>
      <c r="N123" s="51" t="str">
        <f t="shared" si="8"/>
        <v xml:space="preserve"> </v>
      </c>
      <c r="O123" s="51"/>
      <c r="P123" s="51" t="str">
        <f t="shared" si="9"/>
        <v xml:space="preserve"> </v>
      </c>
    </row>
    <row r="124" spans="8:16" ht="15" x14ac:dyDescent="0.25">
      <c r="H124" s="50" t="str">
        <f t="shared" si="10"/>
        <v xml:space="preserve"> </v>
      </c>
      <c r="I124" s="51"/>
      <c r="J124" s="51"/>
      <c r="K124" s="51" t="str">
        <f t="shared" si="6"/>
        <v/>
      </c>
      <c r="L124" s="106" t="str">
        <f t="shared" si="11"/>
        <v xml:space="preserve"> </v>
      </c>
      <c r="M124" s="106" t="str">
        <f t="shared" si="7"/>
        <v xml:space="preserve"> </v>
      </c>
      <c r="N124" s="51" t="str">
        <f t="shared" si="8"/>
        <v xml:space="preserve"> </v>
      </c>
      <c r="O124" s="51"/>
      <c r="P124" s="51" t="str">
        <f t="shared" si="9"/>
        <v xml:space="preserve"> </v>
      </c>
    </row>
    <row r="125" spans="8:16" ht="15" x14ac:dyDescent="0.25">
      <c r="H125" s="50" t="str">
        <f t="shared" si="10"/>
        <v xml:space="preserve"> </v>
      </c>
      <c r="I125" s="51"/>
      <c r="J125" s="51"/>
      <c r="K125" s="51" t="str">
        <f t="shared" si="6"/>
        <v/>
      </c>
      <c r="L125" s="106" t="str">
        <f t="shared" si="11"/>
        <v xml:space="preserve"> </v>
      </c>
      <c r="M125" s="106" t="str">
        <f t="shared" si="7"/>
        <v xml:space="preserve"> </v>
      </c>
      <c r="N125" s="51" t="str">
        <f t="shared" si="8"/>
        <v xml:space="preserve"> </v>
      </c>
      <c r="O125" s="51"/>
      <c r="P125" s="51" t="str">
        <f t="shared" si="9"/>
        <v xml:space="preserve"> </v>
      </c>
    </row>
    <row r="126" spans="8:16" ht="15" x14ac:dyDescent="0.25">
      <c r="H126" s="50" t="str">
        <f t="shared" si="10"/>
        <v xml:space="preserve"> </v>
      </c>
      <c r="I126" s="51"/>
      <c r="J126" s="51"/>
      <c r="K126" s="51" t="str">
        <f t="shared" si="6"/>
        <v/>
      </c>
      <c r="L126" s="106" t="str">
        <f t="shared" si="11"/>
        <v xml:space="preserve"> </v>
      </c>
      <c r="M126" s="106" t="str">
        <f t="shared" si="7"/>
        <v xml:space="preserve"> </v>
      </c>
      <c r="N126" s="51" t="str">
        <f t="shared" si="8"/>
        <v xml:space="preserve"> </v>
      </c>
      <c r="O126" s="51"/>
      <c r="P126" s="51" t="str">
        <f t="shared" si="9"/>
        <v xml:space="preserve"> </v>
      </c>
    </row>
    <row r="127" spans="8:16" ht="15" x14ac:dyDescent="0.25">
      <c r="H127" s="50" t="str">
        <f t="shared" si="10"/>
        <v xml:space="preserve"> </v>
      </c>
      <c r="I127" s="51"/>
      <c r="J127" s="51"/>
      <c r="K127" s="51" t="str">
        <f t="shared" si="6"/>
        <v/>
      </c>
      <c r="L127" s="106" t="str">
        <f t="shared" si="11"/>
        <v xml:space="preserve"> </v>
      </c>
      <c r="M127" s="106" t="str">
        <f t="shared" si="7"/>
        <v xml:space="preserve"> </v>
      </c>
      <c r="N127" s="51" t="str">
        <f t="shared" si="8"/>
        <v xml:space="preserve"> </v>
      </c>
      <c r="O127" s="51"/>
      <c r="P127" s="51" t="str">
        <f t="shared" si="9"/>
        <v xml:space="preserve"> </v>
      </c>
    </row>
    <row r="128" spans="8:16" ht="15" x14ac:dyDescent="0.25">
      <c r="H128" s="50" t="str">
        <f t="shared" si="10"/>
        <v xml:space="preserve"> </v>
      </c>
      <c r="I128" s="51"/>
      <c r="J128" s="51"/>
      <c r="K128" s="51" t="str">
        <f t="shared" si="6"/>
        <v/>
      </c>
      <c r="L128" s="106" t="str">
        <f t="shared" si="11"/>
        <v xml:space="preserve"> </v>
      </c>
      <c r="M128" s="106" t="str">
        <f t="shared" si="7"/>
        <v xml:space="preserve"> </v>
      </c>
      <c r="N128" s="51" t="str">
        <f t="shared" si="8"/>
        <v xml:space="preserve"> </v>
      </c>
      <c r="O128" s="51"/>
      <c r="P128" s="51" t="str">
        <f t="shared" si="9"/>
        <v xml:space="preserve"> </v>
      </c>
    </row>
    <row r="129" spans="8:16" ht="15" x14ac:dyDescent="0.25">
      <c r="H129" s="50" t="str">
        <f t="shared" si="10"/>
        <v xml:space="preserve"> </v>
      </c>
      <c r="I129" s="51"/>
      <c r="J129" s="51"/>
      <c r="K129" s="51" t="str">
        <f t="shared" si="6"/>
        <v/>
      </c>
      <c r="L129" s="106" t="str">
        <f t="shared" si="11"/>
        <v xml:space="preserve"> </v>
      </c>
      <c r="M129" s="106" t="str">
        <f t="shared" si="7"/>
        <v xml:space="preserve"> </v>
      </c>
      <c r="N129" s="51" t="str">
        <f t="shared" si="8"/>
        <v xml:space="preserve"> </v>
      </c>
      <c r="O129" s="51"/>
      <c r="P129" s="51" t="str">
        <f t="shared" si="9"/>
        <v xml:space="preserve"> </v>
      </c>
    </row>
    <row r="130" spans="8:16" ht="15" x14ac:dyDescent="0.25">
      <c r="H130" s="50" t="str">
        <f t="shared" si="10"/>
        <v xml:space="preserve"> </v>
      </c>
      <c r="I130" s="51"/>
      <c r="J130" s="51"/>
      <c r="K130" s="51" t="str">
        <f t="shared" si="6"/>
        <v/>
      </c>
      <c r="L130" s="106" t="str">
        <f t="shared" si="11"/>
        <v xml:space="preserve"> </v>
      </c>
      <c r="M130" s="106" t="str">
        <f t="shared" si="7"/>
        <v xml:space="preserve"> </v>
      </c>
      <c r="N130" s="51" t="str">
        <f t="shared" si="8"/>
        <v xml:space="preserve"> </v>
      </c>
      <c r="O130" s="51"/>
      <c r="P130" s="51" t="str">
        <f t="shared" si="9"/>
        <v xml:space="preserve"> </v>
      </c>
    </row>
    <row r="131" spans="8:16" ht="15" x14ac:dyDescent="0.25">
      <c r="H131" s="50" t="str">
        <f t="shared" si="10"/>
        <v xml:space="preserve"> </v>
      </c>
      <c r="I131" s="51"/>
      <c r="J131" s="51"/>
      <c r="K131" s="51" t="str">
        <f t="shared" si="6"/>
        <v/>
      </c>
      <c r="L131" s="106" t="str">
        <f t="shared" si="11"/>
        <v xml:space="preserve"> </v>
      </c>
      <c r="M131" s="106" t="str">
        <f t="shared" si="7"/>
        <v xml:space="preserve"> </v>
      </c>
      <c r="N131" s="51" t="str">
        <f t="shared" si="8"/>
        <v xml:space="preserve"> </v>
      </c>
      <c r="O131" s="51"/>
      <c r="P131" s="51" t="str">
        <f t="shared" si="9"/>
        <v xml:space="preserve"> </v>
      </c>
    </row>
    <row r="132" spans="8:16" ht="15" x14ac:dyDescent="0.25">
      <c r="H132" s="50" t="str">
        <f t="shared" si="10"/>
        <v xml:space="preserve"> </v>
      </c>
      <c r="I132" s="51"/>
      <c r="J132" s="51"/>
      <c r="K132" s="51" t="str">
        <f t="shared" si="6"/>
        <v/>
      </c>
      <c r="L132" s="106" t="str">
        <f t="shared" si="11"/>
        <v xml:space="preserve"> </v>
      </c>
      <c r="M132" s="106" t="str">
        <f t="shared" si="7"/>
        <v xml:space="preserve"> </v>
      </c>
      <c r="N132" s="51" t="str">
        <f t="shared" si="8"/>
        <v xml:space="preserve"> </v>
      </c>
      <c r="O132" s="51"/>
      <c r="P132" s="51" t="str">
        <f t="shared" si="9"/>
        <v xml:space="preserve"> </v>
      </c>
    </row>
    <row r="133" spans="8:16" ht="15" x14ac:dyDescent="0.25">
      <c r="H133" s="50" t="str">
        <f t="shared" si="10"/>
        <v xml:space="preserve"> </v>
      </c>
      <c r="I133" s="51"/>
      <c r="J133" s="51"/>
      <c r="K133" s="51" t="str">
        <f t="shared" si="6"/>
        <v/>
      </c>
      <c r="L133" s="106" t="str">
        <f t="shared" si="11"/>
        <v xml:space="preserve"> </v>
      </c>
      <c r="M133" s="106" t="str">
        <f t="shared" si="7"/>
        <v xml:space="preserve"> </v>
      </c>
      <c r="N133" s="51" t="str">
        <f t="shared" si="8"/>
        <v xml:space="preserve"> </v>
      </c>
      <c r="O133" s="51"/>
      <c r="P133" s="51" t="str">
        <f t="shared" si="9"/>
        <v xml:space="preserve"> </v>
      </c>
    </row>
    <row r="134" spans="8:16" ht="15" x14ac:dyDescent="0.25">
      <c r="H134" s="50" t="str">
        <f t="shared" si="10"/>
        <v xml:space="preserve"> </v>
      </c>
      <c r="I134" s="51"/>
      <c r="J134" s="51"/>
      <c r="K134" s="51" t="str">
        <f t="shared" si="6"/>
        <v/>
      </c>
      <c r="L134" s="106" t="str">
        <f t="shared" si="11"/>
        <v xml:space="preserve"> </v>
      </c>
      <c r="M134" s="106" t="str">
        <f t="shared" si="7"/>
        <v xml:space="preserve"> </v>
      </c>
      <c r="N134" s="51" t="str">
        <f t="shared" si="8"/>
        <v xml:space="preserve"> </v>
      </c>
      <c r="O134" s="51"/>
      <c r="P134" s="51" t="str">
        <f t="shared" si="9"/>
        <v xml:space="preserve"> </v>
      </c>
    </row>
    <row r="135" spans="8:16" ht="15" x14ac:dyDescent="0.25">
      <c r="H135" s="50" t="str">
        <f t="shared" si="10"/>
        <v xml:space="preserve"> </v>
      </c>
      <c r="I135" s="51"/>
      <c r="J135" s="51"/>
      <c r="K135" s="51" t="str">
        <f t="shared" si="6"/>
        <v/>
      </c>
      <c r="L135" s="106" t="str">
        <f t="shared" si="11"/>
        <v xml:space="preserve"> </v>
      </c>
      <c r="M135" s="106" t="str">
        <f t="shared" si="7"/>
        <v xml:space="preserve"> </v>
      </c>
      <c r="N135" s="51" t="str">
        <f t="shared" si="8"/>
        <v xml:space="preserve"> </v>
      </c>
      <c r="O135" s="51"/>
      <c r="P135" s="51" t="str">
        <f t="shared" si="9"/>
        <v xml:space="preserve"> </v>
      </c>
    </row>
    <row r="136" spans="8:16" ht="15" x14ac:dyDescent="0.25">
      <c r="H136" s="50" t="str">
        <f t="shared" si="10"/>
        <v xml:space="preserve"> </v>
      </c>
      <c r="I136" s="51"/>
      <c r="J136" s="51"/>
      <c r="K136" s="51" t="str">
        <f t="shared" si="6"/>
        <v/>
      </c>
      <c r="L136" s="106" t="str">
        <f t="shared" si="11"/>
        <v xml:space="preserve"> </v>
      </c>
      <c r="M136" s="106" t="str">
        <f t="shared" si="7"/>
        <v xml:space="preserve"> </v>
      </c>
      <c r="N136" s="51" t="str">
        <f t="shared" si="8"/>
        <v xml:space="preserve"> </v>
      </c>
      <c r="O136" s="51"/>
      <c r="P136" s="51" t="str">
        <f t="shared" si="9"/>
        <v xml:space="preserve"> </v>
      </c>
    </row>
    <row r="137" spans="8:16" ht="15" x14ac:dyDescent="0.25">
      <c r="H137" s="50" t="str">
        <f t="shared" si="10"/>
        <v xml:space="preserve"> </v>
      </c>
      <c r="I137" s="51"/>
      <c r="J137" s="51"/>
      <c r="K137" s="51" t="str">
        <f t="shared" si="6"/>
        <v/>
      </c>
      <c r="L137" s="106" t="str">
        <f t="shared" si="11"/>
        <v xml:space="preserve"> </v>
      </c>
      <c r="M137" s="106" t="str">
        <f t="shared" si="7"/>
        <v xml:space="preserve"> </v>
      </c>
      <c r="N137" s="51" t="str">
        <f t="shared" si="8"/>
        <v xml:space="preserve"> </v>
      </c>
      <c r="O137" s="51"/>
      <c r="P137" s="51" t="str">
        <f t="shared" si="9"/>
        <v xml:space="preserve"> </v>
      </c>
    </row>
    <row r="138" spans="8:16" ht="15" x14ac:dyDescent="0.25">
      <c r="H138" s="50" t="str">
        <f t="shared" si="10"/>
        <v xml:space="preserve"> </v>
      </c>
      <c r="I138" s="51"/>
      <c r="J138" s="51"/>
      <c r="K138" s="51" t="str">
        <f t="shared" si="6"/>
        <v/>
      </c>
      <c r="L138" s="106" t="str">
        <f t="shared" si="11"/>
        <v xml:space="preserve"> </v>
      </c>
      <c r="M138" s="106" t="str">
        <f t="shared" si="7"/>
        <v xml:space="preserve"> </v>
      </c>
      <c r="N138" s="51" t="str">
        <f t="shared" si="8"/>
        <v xml:space="preserve"> </v>
      </c>
      <c r="O138" s="51"/>
      <c r="P138" s="51" t="str">
        <f t="shared" si="9"/>
        <v xml:space="preserve"> </v>
      </c>
    </row>
    <row r="139" spans="8:16" ht="15" x14ac:dyDescent="0.25">
      <c r="H139" s="50" t="str">
        <f t="shared" si="10"/>
        <v xml:space="preserve"> </v>
      </c>
      <c r="I139" s="51"/>
      <c r="J139" s="51"/>
      <c r="K139" s="51" t="str">
        <f t="shared" si="6"/>
        <v/>
      </c>
      <c r="L139" s="106" t="str">
        <f t="shared" si="11"/>
        <v xml:space="preserve"> </v>
      </c>
      <c r="M139" s="106" t="str">
        <f t="shared" si="7"/>
        <v xml:space="preserve"> </v>
      </c>
      <c r="N139" s="51" t="str">
        <f t="shared" si="8"/>
        <v xml:space="preserve"> </v>
      </c>
      <c r="O139" s="51"/>
      <c r="P139" s="51" t="str">
        <f t="shared" si="9"/>
        <v xml:space="preserve"> </v>
      </c>
    </row>
    <row r="140" spans="8:16" ht="15" x14ac:dyDescent="0.25">
      <c r="H140" s="50" t="str">
        <f t="shared" si="10"/>
        <v xml:space="preserve"> </v>
      </c>
      <c r="I140" s="51"/>
      <c r="J140" s="51"/>
      <c r="K140" s="51" t="str">
        <f t="shared" si="6"/>
        <v/>
      </c>
      <c r="L140" s="106" t="str">
        <f t="shared" si="11"/>
        <v xml:space="preserve"> </v>
      </c>
      <c r="M140" s="106" t="str">
        <f t="shared" si="7"/>
        <v xml:space="preserve"> </v>
      </c>
      <c r="N140" s="51" t="str">
        <f t="shared" si="8"/>
        <v xml:space="preserve"> </v>
      </c>
      <c r="O140" s="51"/>
      <c r="P140" s="51" t="str">
        <f t="shared" si="9"/>
        <v xml:space="preserve"> </v>
      </c>
    </row>
    <row r="141" spans="8:16" ht="15" x14ac:dyDescent="0.25">
      <c r="H141" s="50" t="str">
        <f t="shared" si="10"/>
        <v xml:space="preserve"> </v>
      </c>
      <c r="I141" s="51"/>
      <c r="J141" s="51"/>
      <c r="K141" s="51" t="str">
        <f t="shared" si="6"/>
        <v/>
      </c>
      <c r="L141" s="106" t="str">
        <f t="shared" si="11"/>
        <v xml:space="preserve"> </v>
      </c>
      <c r="M141" s="106" t="str">
        <f t="shared" si="7"/>
        <v xml:space="preserve"> </v>
      </c>
      <c r="N141" s="51" t="str">
        <f t="shared" si="8"/>
        <v xml:space="preserve"> </v>
      </c>
      <c r="O141" s="51"/>
      <c r="P141" s="51" t="str">
        <f t="shared" si="9"/>
        <v xml:space="preserve"> </v>
      </c>
    </row>
    <row r="142" spans="8:16" ht="15" x14ac:dyDescent="0.25">
      <c r="H142" s="50" t="str">
        <f t="shared" si="10"/>
        <v xml:space="preserve"> </v>
      </c>
      <c r="I142" s="51"/>
      <c r="J142" s="51"/>
      <c r="K142" s="51" t="str">
        <f t="shared" si="6"/>
        <v/>
      </c>
      <c r="L142" s="106" t="str">
        <f t="shared" si="11"/>
        <v xml:space="preserve"> </v>
      </c>
      <c r="M142" s="106" t="str">
        <f t="shared" si="7"/>
        <v xml:space="preserve"> </v>
      </c>
      <c r="N142" s="51" t="str">
        <f t="shared" si="8"/>
        <v xml:space="preserve"> </v>
      </c>
      <c r="O142" s="51"/>
      <c r="P142" s="51" t="str">
        <f t="shared" si="9"/>
        <v xml:space="preserve"> </v>
      </c>
    </row>
    <row r="143" spans="8:16" ht="15" x14ac:dyDescent="0.25">
      <c r="H143" s="50" t="str">
        <f t="shared" si="10"/>
        <v xml:space="preserve"> </v>
      </c>
      <c r="I143" s="51"/>
      <c r="J143" s="51"/>
      <c r="K143" s="51" t="str">
        <f t="shared" si="6"/>
        <v/>
      </c>
      <c r="L143" s="106" t="str">
        <f t="shared" si="11"/>
        <v xml:space="preserve"> </v>
      </c>
      <c r="M143" s="106" t="str">
        <f t="shared" si="7"/>
        <v xml:space="preserve"> </v>
      </c>
      <c r="N143" s="51" t="str">
        <f t="shared" si="8"/>
        <v xml:space="preserve"> </v>
      </c>
      <c r="O143" s="51"/>
      <c r="P143" s="51" t="str">
        <f t="shared" si="9"/>
        <v xml:space="preserve"> </v>
      </c>
    </row>
    <row r="144" spans="8:16" ht="15" x14ac:dyDescent="0.25">
      <c r="H144" s="50" t="str">
        <f t="shared" si="10"/>
        <v xml:space="preserve"> </v>
      </c>
      <c r="I144" s="51"/>
      <c r="J144" s="51"/>
      <c r="K144" s="51" t="str">
        <f t="shared" si="6"/>
        <v/>
      </c>
      <c r="L144" s="106" t="str">
        <f t="shared" si="11"/>
        <v xml:space="preserve"> </v>
      </c>
      <c r="M144" s="106" t="str">
        <f t="shared" si="7"/>
        <v xml:space="preserve"> </v>
      </c>
      <c r="N144" s="51" t="str">
        <f t="shared" si="8"/>
        <v xml:space="preserve"> </v>
      </c>
      <c r="O144" s="51"/>
      <c r="P144" s="51" t="str">
        <f t="shared" si="9"/>
        <v xml:space="preserve"> </v>
      </c>
    </row>
    <row r="145" spans="8:16" ht="15" x14ac:dyDescent="0.25">
      <c r="H145" s="50" t="str">
        <f t="shared" si="10"/>
        <v xml:space="preserve"> </v>
      </c>
      <c r="I145" s="51"/>
      <c r="J145" s="51"/>
      <c r="K145" s="51" t="str">
        <f t="shared" si="6"/>
        <v/>
      </c>
      <c r="L145" s="106" t="str">
        <f t="shared" si="11"/>
        <v xml:space="preserve"> </v>
      </c>
      <c r="M145" s="106" t="str">
        <f t="shared" si="7"/>
        <v xml:space="preserve"> </v>
      </c>
      <c r="N145" s="51" t="str">
        <f t="shared" si="8"/>
        <v xml:space="preserve"> </v>
      </c>
      <c r="O145" s="51"/>
      <c r="P145" s="51" t="str">
        <f t="shared" si="9"/>
        <v xml:space="preserve"> </v>
      </c>
    </row>
    <row r="146" spans="8:16" ht="15" x14ac:dyDescent="0.25">
      <c r="H146" s="50" t="str">
        <f t="shared" si="10"/>
        <v xml:space="preserve"> </v>
      </c>
      <c r="I146" s="51"/>
      <c r="J146" s="51"/>
      <c r="K146" s="51" t="str">
        <f t="shared" si="6"/>
        <v/>
      </c>
      <c r="L146" s="106" t="str">
        <f t="shared" si="11"/>
        <v xml:space="preserve"> </v>
      </c>
      <c r="M146" s="106" t="str">
        <f t="shared" si="7"/>
        <v xml:space="preserve"> </v>
      </c>
      <c r="N146" s="51" t="str">
        <f t="shared" si="8"/>
        <v xml:space="preserve"> </v>
      </c>
      <c r="O146" s="51"/>
      <c r="P146" s="51" t="str">
        <f t="shared" si="9"/>
        <v xml:space="preserve"> </v>
      </c>
    </row>
    <row r="147" spans="8:16" ht="15" x14ac:dyDescent="0.25">
      <c r="H147" s="50" t="str">
        <f t="shared" si="10"/>
        <v xml:space="preserve"> </v>
      </c>
      <c r="I147" s="51"/>
      <c r="J147" s="51"/>
      <c r="K147" s="51" t="str">
        <f t="shared" ref="K147:K210" si="12">IF(H146&lt;=$U$17,IF(credito="Francesa",IF(H147&lt;=$U$17,$K146,0),IF(credito="Alemana",IF(H147&lt;=$U$17,L147+M147,0))),"")</f>
        <v/>
      </c>
      <c r="L147" s="106" t="str">
        <f t="shared" si="11"/>
        <v xml:space="preserve"> </v>
      </c>
      <c r="M147" s="106" t="str">
        <f t="shared" ref="M147:M210" si="13">IF(H147&lt;=$U$17,IF(credito="Francesa",K147-L147,IF(credito="Alemana",IF(H147&lt;=$U$17,$M146,0)))," ")</f>
        <v xml:space="preserve"> </v>
      </c>
      <c r="N147" s="51" t="str">
        <f t="shared" ref="N147:N210" si="14">IF(H147&lt;=$U$17,N146-M147," ")</f>
        <v xml:space="preserve"> </v>
      </c>
      <c r="O147" s="51"/>
      <c r="P147" s="51" t="str">
        <f t="shared" ref="P147:P210" si="15">IFERROR(SUM(IF(H147&lt;=$U$17,-K147," "),J147)," ")</f>
        <v xml:space="preserve"> </v>
      </c>
    </row>
    <row r="148" spans="8:16" ht="15" x14ac:dyDescent="0.25">
      <c r="H148" s="50" t="str">
        <f t="shared" ref="H148:H211" si="16">IF($H147&gt;=$U$17," ",H147+1)</f>
        <v xml:space="preserve"> </v>
      </c>
      <c r="I148" s="51"/>
      <c r="J148" s="51"/>
      <c r="K148" s="51" t="str">
        <f t="shared" si="12"/>
        <v/>
      </c>
      <c r="L148" s="106" t="str">
        <f t="shared" ref="L148:L211" si="17">IF(H148&lt;=$U$17,N147*$D$28/$D$24," ")</f>
        <v xml:space="preserve"> </v>
      </c>
      <c r="M148" s="106" t="str">
        <f t="shared" si="13"/>
        <v xml:space="preserve"> </v>
      </c>
      <c r="N148" s="51" t="str">
        <f t="shared" si="14"/>
        <v xml:space="preserve"> </v>
      </c>
      <c r="O148" s="51"/>
      <c r="P148" s="51" t="str">
        <f t="shared" si="15"/>
        <v xml:space="preserve"> </v>
      </c>
    </row>
    <row r="149" spans="8:16" ht="15" x14ac:dyDescent="0.25">
      <c r="H149" s="50" t="str">
        <f t="shared" si="16"/>
        <v xml:space="preserve"> </v>
      </c>
      <c r="I149" s="51"/>
      <c r="J149" s="51"/>
      <c r="K149" s="51" t="str">
        <f t="shared" si="12"/>
        <v/>
      </c>
      <c r="L149" s="106" t="str">
        <f t="shared" si="17"/>
        <v xml:space="preserve"> </v>
      </c>
      <c r="M149" s="106" t="str">
        <f t="shared" si="13"/>
        <v xml:space="preserve"> </v>
      </c>
      <c r="N149" s="51" t="str">
        <f t="shared" si="14"/>
        <v xml:space="preserve"> </v>
      </c>
      <c r="O149" s="51"/>
      <c r="P149" s="51" t="str">
        <f t="shared" si="15"/>
        <v xml:space="preserve"> </v>
      </c>
    </row>
    <row r="150" spans="8:16" ht="15" x14ac:dyDescent="0.25">
      <c r="H150" s="50" t="str">
        <f t="shared" si="16"/>
        <v xml:space="preserve"> </v>
      </c>
      <c r="I150" s="51"/>
      <c r="J150" s="51"/>
      <c r="K150" s="51" t="str">
        <f t="shared" si="12"/>
        <v/>
      </c>
      <c r="L150" s="106" t="str">
        <f t="shared" si="17"/>
        <v xml:space="preserve"> </v>
      </c>
      <c r="M150" s="106" t="str">
        <f t="shared" si="13"/>
        <v xml:space="preserve"> </v>
      </c>
      <c r="N150" s="51" t="str">
        <f t="shared" si="14"/>
        <v xml:space="preserve"> </v>
      </c>
      <c r="O150" s="51"/>
      <c r="P150" s="51" t="str">
        <f t="shared" si="15"/>
        <v xml:space="preserve"> </v>
      </c>
    </row>
    <row r="151" spans="8:16" ht="15" x14ac:dyDescent="0.25">
      <c r="H151" s="50" t="str">
        <f t="shared" si="16"/>
        <v xml:space="preserve"> </v>
      </c>
      <c r="I151" s="51"/>
      <c r="J151" s="51"/>
      <c r="K151" s="51" t="str">
        <f t="shared" si="12"/>
        <v/>
      </c>
      <c r="L151" s="106" t="str">
        <f t="shared" si="17"/>
        <v xml:space="preserve"> </v>
      </c>
      <c r="M151" s="106" t="str">
        <f t="shared" si="13"/>
        <v xml:space="preserve"> </v>
      </c>
      <c r="N151" s="51" t="str">
        <f t="shared" si="14"/>
        <v xml:space="preserve"> </v>
      </c>
      <c r="O151" s="51"/>
      <c r="P151" s="51" t="str">
        <f t="shared" si="15"/>
        <v xml:space="preserve"> </v>
      </c>
    </row>
    <row r="152" spans="8:16" ht="15" x14ac:dyDescent="0.25">
      <c r="H152" s="50" t="str">
        <f t="shared" si="16"/>
        <v xml:space="preserve"> </v>
      </c>
      <c r="I152" s="51"/>
      <c r="J152" s="51"/>
      <c r="K152" s="51" t="str">
        <f t="shared" si="12"/>
        <v/>
      </c>
      <c r="L152" s="106" t="str">
        <f t="shared" si="17"/>
        <v xml:space="preserve"> </v>
      </c>
      <c r="M152" s="106" t="str">
        <f t="shared" si="13"/>
        <v xml:space="preserve"> </v>
      </c>
      <c r="N152" s="51" t="str">
        <f t="shared" si="14"/>
        <v xml:space="preserve"> </v>
      </c>
      <c r="O152" s="51"/>
      <c r="P152" s="51" t="str">
        <f t="shared" si="15"/>
        <v xml:space="preserve"> </v>
      </c>
    </row>
    <row r="153" spans="8:16" ht="15" x14ac:dyDescent="0.25">
      <c r="H153" s="50" t="str">
        <f t="shared" si="16"/>
        <v xml:space="preserve"> </v>
      </c>
      <c r="I153" s="51"/>
      <c r="J153" s="51"/>
      <c r="K153" s="51" t="str">
        <f t="shared" si="12"/>
        <v/>
      </c>
      <c r="L153" s="106" t="str">
        <f t="shared" si="17"/>
        <v xml:space="preserve"> </v>
      </c>
      <c r="M153" s="106" t="str">
        <f t="shared" si="13"/>
        <v xml:space="preserve"> </v>
      </c>
      <c r="N153" s="51" t="str">
        <f t="shared" si="14"/>
        <v xml:space="preserve"> </v>
      </c>
      <c r="O153" s="51"/>
      <c r="P153" s="51" t="str">
        <f t="shared" si="15"/>
        <v xml:space="preserve"> </v>
      </c>
    </row>
    <row r="154" spans="8:16" ht="15" x14ac:dyDescent="0.25">
      <c r="H154" s="50" t="str">
        <f t="shared" si="16"/>
        <v xml:space="preserve"> </v>
      </c>
      <c r="I154" s="51"/>
      <c r="J154" s="51"/>
      <c r="K154" s="51" t="str">
        <f t="shared" si="12"/>
        <v/>
      </c>
      <c r="L154" s="106" t="str">
        <f t="shared" si="17"/>
        <v xml:space="preserve"> </v>
      </c>
      <c r="M154" s="106" t="str">
        <f t="shared" si="13"/>
        <v xml:space="preserve"> </v>
      </c>
      <c r="N154" s="51" t="str">
        <f t="shared" si="14"/>
        <v xml:space="preserve"> </v>
      </c>
      <c r="O154" s="51"/>
      <c r="P154" s="51" t="str">
        <f t="shared" si="15"/>
        <v xml:space="preserve"> </v>
      </c>
    </row>
    <row r="155" spans="8:16" ht="15" x14ac:dyDescent="0.25">
      <c r="H155" s="50" t="str">
        <f t="shared" si="16"/>
        <v xml:space="preserve"> </v>
      </c>
      <c r="I155" s="51"/>
      <c r="J155" s="51"/>
      <c r="K155" s="51" t="str">
        <f t="shared" si="12"/>
        <v/>
      </c>
      <c r="L155" s="106" t="str">
        <f t="shared" si="17"/>
        <v xml:space="preserve"> </v>
      </c>
      <c r="M155" s="106" t="str">
        <f t="shared" si="13"/>
        <v xml:space="preserve"> </v>
      </c>
      <c r="N155" s="51" t="str">
        <f t="shared" si="14"/>
        <v xml:space="preserve"> </v>
      </c>
      <c r="O155" s="51"/>
      <c r="P155" s="51" t="str">
        <f t="shared" si="15"/>
        <v xml:space="preserve"> </v>
      </c>
    </row>
    <row r="156" spans="8:16" ht="15" x14ac:dyDescent="0.25">
      <c r="H156" s="50" t="str">
        <f t="shared" si="16"/>
        <v xml:space="preserve"> </v>
      </c>
      <c r="I156" s="51"/>
      <c r="J156" s="51"/>
      <c r="K156" s="51" t="str">
        <f t="shared" si="12"/>
        <v/>
      </c>
      <c r="L156" s="106" t="str">
        <f t="shared" si="17"/>
        <v xml:space="preserve"> </v>
      </c>
      <c r="M156" s="106" t="str">
        <f t="shared" si="13"/>
        <v xml:space="preserve"> </v>
      </c>
      <c r="N156" s="51" t="str">
        <f t="shared" si="14"/>
        <v xml:space="preserve"> </v>
      </c>
      <c r="O156" s="51"/>
      <c r="P156" s="51" t="str">
        <f t="shared" si="15"/>
        <v xml:space="preserve"> </v>
      </c>
    </row>
    <row r="157" spans="8:16" ht="15" x14ac:dyDescent="0.25">
      <c r="H157" s="50" t="str">
        <f t="shared" si="16"/>
        <v xml:space="preserve"> </v>
      </c>
      <c r="I157" s="51"/>
      <c r="J157" s="51"/>
      <c r="K157" s="51" t="str">
        <f t="shared" si="12"/>
        <v/>
      </c>
      <c r="L157" s="106" t="str">
        <f t="shared" si="17"/>
        <v xml:space="preserve"> </v>
      </c>
      <c r="M157" s="106" t="str">
        <f t="shared" si="13"/>
        <v xml:space="preserve"> </v>
      </c>
      <c r="N157" s="51" t="str">
        <f t="shared" si="14"/>
        <v xml:space="preserve"> </v>
      </c>
      <c r="O157" s="51"/>
      <c r="P157" s="51" t="str">
        <f t="shared" si="15"/>
        <v xml:space="preserve"> </v>
      </c>
    </row>
    <row r="158" spans="8:16" ht="15" x14ac:dyDescent="0.25">
      <c r="H158" s="50" t="str">
        <f t="shared" si="16"/>
        <v xml:space="preserve"> </v>
      </c>
      <c r="I158" s="51"/>
      <c r="J158" s="51"/>
      <c r="K158" s="51" t="str">
        <f t="shared" si="12"/>
        <v/>
      </c>
      <c r="L158" s="106" t="str">
        <f t="shared" si="17"/>
        <v xml:space="preserve"> </v>
      </c>
      <c r="M158" s="106" t="str">
        <f t="shared" si="13"/>
        <v xml:space="preserve"> </v>
      </c>
      <c r="N158" s="51" t="str">
        <f t="shared" si="14"/>
        <v xml:space="preserve"> </v>
      </c>
      <c r="O158" s="51"/>
      <c r="P158" s="51" t="str">
        <f t="shared" si="15"/>
        <v xml:space="preserve"> </v>
      </c>
    </row>
    <row r="159" spans="8:16" ht="15" x14ac:dyDescent="0.25">
      <c r="H159" s="50" t="str">
        <f t="shared" si="16"/>
        <v xml:space="preserve"> </v>
      </c>
      <c r="I159" s="51"/>
      <c r="J159" s="51"/>
      <c r="K159" s="51" t="str">
        <f t="shared" si="12"/>
        <v/>
      </c>
      <c r="L159" s="106" t="str">
        <f t="shared" si="17"/>
        <v xml:space="preserve"> </v>
      </c>
      <c r="M159" s="106" t="str">
        <f t="shared" si="13"/>
        <v xml:space="preserve"> </v>
      </c>
      <c r="N159" s="51" t="str">
        <f t="shared" si="14"/>
        <v xml:space="preserve"> </v>
      </c>
      <c r="O159" s="51"/>
      <c r="P159" s="51" t="str">
        <f t="shared" si="15"/>
        <v xml:space="preserve"> </v>
      </c>
    </row>
    <row r="160" spans="8:16" ht="15" x14ac:dyDescent="0.25">
      <c r="H160" s="50" t="str">
        <f t="shared" si="16"/>
        <v xml:space="preserve"> </v>
      </c>
      <c r="I160" s="51"/>
      <c r="J160" s="51"/>
      <c r="K160" s="51" t="str">
        <f t="shared" si="12"/>
        <v/>
      </c>
      <c r="L160" s="106" t="str">
        <f t="shared" si="17"/>
        <v xml:space="preserve"> </v>
      </c>
      <c r="M160" s="106" t="str">
        <f t="shared" si="13"/>
        <v xml:space="preserve"> </v>
      </c>
      <c r="N160" s="51" t="str">
        <f t="shared" si="14"/>
        <v xml:space="preserve"> </v>
      </c>
      <c r="O160" s="51"/>
      <c r="P160" s="51" t="str">
        <f t="shared" si="15"/>
        <v xml:space="preserve"> </v>
      </c>
    </row>
    <row r="161" spans="8:16" ht="15" x14ac:dyDescent="0.25">
      <c r="H161" s="50" t="str">
        <f t="shared" si="16"/>
        <v xml:space="preserve"> </v>
      </c>
      <c r="I161" s="51"/>
      <c r="J161" s="51"/>
      <c r="K161" s="51" t="str">
        <f t="shared" si="12"/>
        <v/>
      </c>
      <c r="L161" s="106" t="str">
        <f t="shared" si="17"/>
        <v xml:space="preserve"> </v>
      </c>
      <c r="M161" s="106" t="str">
        <f t="shared" si="13"/>
        <v xml:space="preserve"> </v>
      </c>
      <c r="N161" s="51" t="str">
        <f t="shared" si="14"/>
        <v xml:space="preserve"> </v>
      </c>
      <c r="O161" s="51"/>
      <c r="P161" s="51" t="str">
        <f t="shared" si="15"/>
        <v xml:space="preserve"> </v>
      </c>
    </row>
    <row r="162" spans="8:16" ht="15" x14ac:dyDescent="0.25">
      <c r="H162" s="50" t="str">
        <f t="shared" si="16"/>
        <v xml:space="preserve"> </v>
      </c>
      <c r="I162" s="51"/>
      <c r="J162" s="51"/>
      <c r="K162" s="51" t="str">
        <f t="shared" si="12"/>
        <v/>
      </c>
      <c r="L162" s="106" t="str">
        <f t="shared" si="17"/>
        <v xml:space="preserve"> </v>
      </c>
      <c r="M162" s="106" t="str">
        <f t="shared" si="13"/>
        <v xml:space="preserve"> </v>
      </c>
      <c r="N162" s="51" t="str">
        <f t="shared" si="14"/>
        <v xml:space="preserve"> </v>
      </c>
      <c r="O162" s="51"/>
      <c r="P162" s="51" t="str">
        <f t="shared" si="15"/>
        <v xml:space="preserve"> </v>
      </c>
    </row>
    <row r="163" spans="8:16" ht="15" x14ac:dyDescent="0.25">
      <c r="H163" s="50" t="str">
        <f t="shared" si="16"/>
        <v xml:space="preserve"> </v>
      </c>
      <c r="I163" s="51"/>
      <c r="J163" s="51"/>
      <c r="K163" s="51" t="str">
        <f t="shared" si="12"/>
        <v/>
      </c>
      <c r="L163" s="106" t="str">
        <f t="shared" si="17"/>
        <v xml:space="preserve"> </v>
      </c>
      <c r="M163" s="106" t="str">
        <f t="shared" si="13"/>
        <v xml:space="preserve"> </v>
      </c>
      <c r="N163" s="51" t="str">
        <f t="shared" si="14"/>
        <v xml:space="preserve"> </v>
      </c>
      <c r="O163" s="51"/>
      <c r="P163" s="51" t="str">
        <f t="shared" si="15"/>
        <v xml:space="preserve"> </v>
      </c>
    </row>
    <row r="164" spans="8:16" ht="15" x14ac:dyDescent="0.25">
      <c r="H164" s="50" t="str">
        <f t="shared" si="16"/>
        <v xml:space="preserve"> </v>
      </c>
      <c r="I164" s="51"/>
      <c r="J164" s="51"/>
      <c r="K164" s="51" t="str">
        <f t="shared" si="12"/>
        <v/>
      </c>
      <c r="L164" s="106" t="str">
        <f t="shared" si="17"/>
        <v xml:space="preserve"> </v>
      </c>
      <c r="M164" s="106" t="str">
        <f t="shared" si="13"/>
        <v xml:space="preserve"> </v>
      </c>
      <c r="N164" s="51" t="str">
        <f t="shared" si="14"/>
        <v xml:space="preserve"> </v>
      </c>
      <c r="O164" s="51"/>
      <c r="P164" s="51" t="str">
        <f t="shared" si="15"/>
        <v xml:space="preserve"> </v>
      </c>
    </row>
    <row r="165" spans="8:16" ht="15" x14ac:dyDescent="0.25">
      <c r="H165" s="50" t="str">
        <f t="shared" si="16"/>
        <v xml:space="preserve"> </v>
      </c>
      <c r="I165" s="51"/>
      <c r="J165" s="51"/>
      <c r="K165" s="51" t="str">
        <f t="shared" si="12"/>
        <v/>
      </c>
      <c r="L165" s="106" t="str">
        <f t="shared" si="17"/>
        <v xml:space="preserve"> </v>
      </c>
      <c r="M165" s="106" t="str">
        <f t="shared" si="13"/>
        <v xml:space="preserve"> </v>
      </c>
      <c r="N165" s="51" t="str">
        <f t="shared" si="14"/>
        <v xml:space="preserve"> </v>
      </c>
      <c r="O165" s="51"/>
      <c r="P165" s="51" t="str">
        <f t="shared" si="15"/>
        <v xml:space="preserve"> </v>
      </c>
    </row>
    <row r="166" spans="8:16" ht="15" x14ac:dyDescent="0.25">
      <c r="H166" s="50" t="str">
        <f t="shared" si="16"/>
        <v xml:space="preserve"> </v>
      </c>
      <c r="I166" s="51"/>
      <c r="J166" s="51"/>
      <c r="K166" s="51" t="str">
        <f t="shared" si="12"/>
        <v/>
      </c>
      <c r="L166" s="106" t="str">
        <f t="shared" si="17"/>
        <v xml:space="preserve"> </v>
      </c>
      <c r="M166" s="106" t="str">
        <f t="shared" si="13"/>
        <v xml:space="preserve"> </v>
      </c>
      <c r="N166" s="51" t="str">
        <f t="shared" si="14"/>
        <v xml:space="preserve"> </v>
      </c>
      <c r="O166" s="51"/>
      <c r="P166" s="51" t="str">
        <f t="shared" si="15"/>
        <v xml:space="preserve"> </v>
      </c>
    </row>
    <row r="167" spans="8:16" ht="15" x14ac:dyDescent="0.25">
      <c r="H167" s="50" t="str">
        <f t="shared" si="16"/>
        <v xml:space="preserve"> </v>
      </c>
      <c r="I167" s="51"/>
      <c r="J167" s="51"/>
      <c r="K167" s="51" t="str">
        <f t="shared" si="12"/>
        <v/>
      </c>
      <c r="L167" s="106" t="str">
        <f t="shared" si="17"/>
        <v xml:space="preserve"> </v>
      </c>
      <c r="M167" s="106" t="str">
        <f t="shared" si="13"/>
        <v xml:space="preserve"> </v>
      </c>
      <c r="N167" s="51" t="str">
        <f t="shared" si="14"/>
        <v xml:space="preserve"> </v>
      </c>
      <c r="O167" s="51"/>
      <c r="P167" s="51" t="str">
        <f t="shared" si="15"/>
        <v xml:space="preserve"> </v>
      </c>
    </row>
    <row r="168" spans="8:16" ht="15" x14ac:dyDescent="0.25">
      <c r="H168" s="50" t="str">
        <f t="shared" si="16"/>
        <v xml:space="preserve"> </v>
      </c>
      <c r="I168" s="51"/>
      <c r="J168" s="51"/>
      <c r="K168" s="51" t="str">
        <f t="shared" si="12"/>
        <v/>
      </c>
      <c r="L168" s="106" t="str">
        <f t="shared" si="17"/>
        <v xml:space="preserve"> </v>
      </c>
      <c r="M168" s="106" t="str">
        <f t="shared" si="13"/>
        <v xml:space="preserve"> </v>
      </c>
      <c r="N168" s="51" t="str">
        <f t="shared" si="14"/>
        <v xml:space="preserve"> </v>
      </c>
      <c r="O168" s="51"/>
      <c r="P168" s="51" t="str">
        <f t="shared" si="15"/>
        <v xml:space="preserve"> </v>
      </c>
    </row>
    <row r="169" spans="8:16" ht="15" x14ac:dyDescent="0.25">
      <c r="H169" s="50" t="str">
        <f t="shared" si="16"/>
        <v xml:space="preserve"> </v>
      </c>
      <c r="I169" s="51"/>
      <c r="J169" s="51"/>
      <c r="K169" s="51" t="str">
        <f t="shared" si="12"/>
        <v/>
      </c>
      <c r="L169" s="106" t="str">
        <f t="shared" si="17"/>
        <v xml:space="preserve"> </v>
      </c>
      <c r="M169" s="106" t="str">
        <f t="shared" si="13"/>
        <v xml:space="preserve"> </v>
      </c>
      <c r="N169" s="51" t="str">
        <f t="shared" si="14"/>
        <v xml:space="preserve"> </v>
      </c>
      <c r="O169" s="51"/>
      <c r="P169" s="51" t="str">
        <f t="shared" si="15"/>
        <v xml:space="preserve"> </v>
      </c>
    </row>
    <row r="170" spans="8:16" ht="15" x14ac:dyDescent="0.25">
      <c r="H170" s="50" t="str">
        <f t="shared" si="16"/>
        <v xml:space="preserve"> </v>
      </c>
      <c r="I170" s="51"/>
      <c r="J170" s="51"/>
      <c r="K170" s="51" t="str">
        <f t="shared" si="12"/>
        <v/>
      </c>
      <c r="L170" s="106" t="str">
        <f t="shared" si="17"/>
        <v xml:space="preserve"> </v>
      </c>
      <c r="M170" s="106" t="str">
        <f t="shared" si="13"/>
        <v xml:space="preserve"> </v>
      </c>
      <c r="N170" s="51" t="str">
        <f t="shared" si="14"/>
        <v xml:space="preserve"> </v>
      </c>
      <c r="O170" s="51"/>
      <c r="P170" s="51" t="str">
        <f t="shared" si="15"/>
        <v xml:space="preserve"> </v>
      </c>
    </row>
    <row r="171" spans="8:16" ht="15" x14ac:dyDescent="0.25">
      <c r="H171" s="50" t="str">
        <f t="shared" si="16"/>
        <v xml:space="preserve"> </v>
      </c>
      <c r="I171" s="51"/>
      <c r="J171" s="51"/>
      <c r="K171" s="51" t="str">
        <f t="shared" si="12"/>
        <v/>
      </c>
      <c r="L171" s="106" t="str">
        <f t="shared" si="17"/>
        <v xml:space="preserve"> </v>
      </c>
      <c r="M171" s="106" t="str">
        <f t="shared" si="13"/>
        <v xml:space="preserve"> </v>
      </c>
      <c r="N171" s="51" t="str">
        <f t="shared" si="14"/>
        <v xml:space="preserve"> </v>
      </c>
      <c r="O171" s="51"/>
      <c r="P171" s="51" t="str">
        <f t="shared" si="15"/>
        <v xml:space="preserve"> </v>
      </c>
    </row>
    <row r="172" spans="8:16" ht="15" x14ac:dyDescent="0.25">
      <c r="H172" s="50" t="str">
        <f t="shared" si="16"/>
        <v xml:space="preserve"> </v>
      </c>
      <c r="I172" s="51"/>
      <c r="J172" s="51"/>
      <c r="K172" s="51" t="str">
        <f t="shared" si="12"/>
        <v/>
      </c>
      <c r="L172" s="106" t="str">
        <f t="shared" si="17"/>
        <v xml:space="preserve"> </v>
      </c>
      <c r="M172" s="106" t="str">
        <f t="shared" si="13"/>
        <v xml:space="preserve"> </v>
      </c>
      <c r="N172" s="51" t="str">
        <f t="shared" si="14"/>
        <v xml:space="preserve"> </v>
      </c>
      <c r="O172" s="51"/>
      <c r="P172" s="51" t="str">
        <f t="shared" si="15"/>
        <v xml:space="preserve"> </v>
      </c>
    </row>
    <row r="173" spans="8:16" ht="15" x14ac:dyDescent="0.25">
      <c r="H173" s="50" t="str">
        <f t="shared" si="16"/>
        <v xml:space="preserve"> </v>
      </c>
      <c r="I173" s="51"/>
      <c r="J173" s="51"/>
      <c r="K173" s="51" t="str">
        <f t="shared" si="12"/>
        <v/>
      </c>
      <c r="L173" s="106" t="str">
        <f t="shared" si="17"/>
        <v xml:space="preserve"> </v>
      </c>
      <c r="M173" s="106" t="str">
        <f t="shared" si="13"/>
        <v xml:space="preserve"> </v>
      </c>
      <c r="N173" s="51" t="str">
        <f t="shared" si="14"/>
        <v xml:space="preserve"> </v>
      </c>
      <c r="O173" s="51"/>
      <c r="P173" s="51" t="str">
        <f t="shared" si="15"/>
        <v xml:space="preserve"> </v>
      </c>
    </row>
    <row r="174" spans="8:16" ht="15" x14ac:dyDescent="0.25">
      <c r="H174" s="50" t="str">
        <f t="shared" si="16"/>
        <v xml:space="preserve"> </v>
      </c>
      <c r="I174" s="51"/>
      <c r="J174" s="51"/>
      <c r="K174" s="51" t="str">
        <f t="shared" si="12"/>
        <v/>
      </c>
      <c r="L174" s="106" t="str">
        <f t="shared" si="17"/>
        <v xml:space="preserve"> </v>
      </c>
      <c r="M174" s="106" t="str">
        <f t="shared" si="13"/>
        <v xml:space="preserve"> </v>
      </c>
      <c r="N174" s="51" t="str">
        <f t="shared" si="14"/>
        <v xml:space="preserve"> </v>
      </c>
      <c r="O174" s="51"/>
      <c r="P174" s="51" t="str">
        <f t="shared" si="15"/>
        <v xml:space="preserve"> </v>
      </c>
    </row>
    <row r="175" spans="8:16" ht="15" x14ac:dyDescent="0.25">
      <c r="H175" s="50" t="str">
        <f t="shared" si="16"/>
        <v xml:space="preserve"> </v>
      </c>
      <c r="I175" s="51"/>
      <c r="J175" s="51"/>
      <c r="K175" s="51" t="str">
        <f t="shared" si="12"/>
        <v/>
      </c>
      <c r="L175" s="106" t="str">
        <f t="shared" si="17"/>
        <v xml:space="preserve"> </v>
      </c>
      <c r="M175" s="106" t="str">
        <f t="shared" si="13"/>
        <v xml:space="preserve"> </v>
      </c>
      <c r="N175" s="51" t="str">
        <f t="shared" si="14"/>
        <v xml:space="preserve"> </v>
      </c>
      <c r="O175" s="51"/>
      <c r="P175" s="51" t="str">
        <f t="shared" si="15"/>
        <v xml:space="preserve"> </v>
      </c>
    </row>
    <row r="176" spans="8:16" ht="15" x14ac:dyDescent="0.25">
      <c r="H176" s="50" t="str">
        <f t="shared" si="16"/>
        <v xml:space="preserve"> </v>
      </c>
      <c r="I176" s="51"/>
      <c r="J176" s="51"/>
      <c r="K176" s="51" t="str">
        <f t="shared" si="12"/>
        <v/>
      </c>
      <c r="L176" s="106" t="str">
        <f t="shared" si="17"/>
        <v xml:space="preserve"> </v>
      </c>
      <c r="M176" s="106" t="str">
        <f t="shared" si="13"/>
        <v xml:space="preserve"> </v>
      </c>
      <c r="N176" s="51" t="str">
        <f t="shared" si="14"/>
        <v xml:space="preserve"> </v>
      </c>
      <c r="O176" s="51"/>
      <c r="P176" s="51" t="str">
        <f t="shared" si="15"/>
        <v xml:space="preserve"> </v>
      </c>
    </row>
    <row r="177" spans="8:16" ht="15" x14ac:dyDescent="0.25">
      <c r="H177" s="50" t="str">
        <f t="shared" si="16"/>
        <v xml:space="preserve"> </v>
      </c>
      <c r="I177" s="51"/>
      <c r="J177" s="51"/>
      <c r="K177" s="51" t="str">
        <f t="shared" si="12"/>
        <v/>
      </c>
      <c r="L177" s="106" t="str">
        <f t="shared" si="17"/>
        <v xml:space="preserve"> </v>
      </c>
      <c r="M177" s="106" t="str">
        <f t="shared" si="13"/>
        <v xml:space="preserve"> </v>
      </c>
      <c r="N177" s="51" t="str">
        <f t="shared" si="14"/>
        <v xml:space="preserve"> </v>
      </c>
      <c r="O177" s="51"/>
      <c r="P177" s="51" t="str">
        <f t="shared" si="15"/>
        <v xml:space="preserve"> </v>
      </c>
    </row>
    <row r="178" spans="8:16" ht="15" x14ac:dyDescent="0.25">
      <c r="H178" s="50" t="str">
        <f t="shared" si="16"/>
        <v xml:space="preserve"> </v>
      </c>
      <c r="I178" s="51"/>
      <c r="J178" s="51"/>
      <c r="K178" s="51" t="str">
        <f t="shared" si="12"/>
        <v/>
      </c>
      <c r="L178" s="106" t="str">
        <f t="shared" si="17"/>
        <v xml:space="preserve"> </v>
      </c>
      <c r="M178" s="106" t="str">
        <f t="shared" si="13"/>
        <v xml:space="preserve"> </v>
      </c>
      <c r="N178" s="51" t="str">
        <f t="shared" si="14"/>
        <v xml:space="preserve"> </v>
      </c>
      <c r="O178" s="51"/>
      <c r="P178" s="51" t="str">
        <f t="shared" si="15"/>
        <v xml:space="preserve"> </v>
      </c>
    </row>
    <row r="179" spans="8:16" ht="15" x14ac:dyDescent="0.25">
      <c r="H179" s="50" t="str">
        <f t="shared" si="16"/>
        <v xml:space="preserve"> </v>
      </c>
      <c r="I179" s="51"/>
      <c r="J179" s="51"/>
      <c r="K179" s="51" t="str">
        <f t="shared" si="12"/>
        <v/>
      </c>
      <c r="L179" s="106" t="str">
        <f t="shared" si="17"/>
        <v xml:space="preserve"> </v>
      </c>
      <c r="M179" s="106" t="str">
        <f t="shared" si="13"/>
        <v xml:space="preserve"> </v>
      </c>
      <c r="N179" s="51" t="str">
        <f t="shared" si="14"/>
        <v xml:space="preserve"> </v>
      </c>
      <c r="O179" s="51"/>
      <c r="P179" s="51" t="str">
        <f t="shared" si="15"/>
        <v xml:space="preserve"> </v>
      </c>
    </row>
    <row r="180" spans="8:16" ht="15" x14ac:dyDescent="0.25">
      <c r="H180" s="50" t="str">
        <f t="shared" si="16"/>
        <v xml:space="preserve"> </v>
      </c>
      <c r="I180" s="51"/>
      <c r="J180" s="51"/>
      <c r="K180" s="51" t="str">
        <f t="shared" si="12"/>
        <v/>
      </c>
      <c r="L180" s="106" t="str">
        <f t="shared" si="17"/>
        <v xml:space="preserve"> </v>
      </c>
      <c r="M180" s="106" t="str">
        <f t="shared" si="13"/>
        <v xml:space="preserve"> </v>
      </c>
      <c r="N180" s="51" t="str">
        <f t="shared" si="14"/>
        <v xml:space="preserve"> </v>
      </c>
      <c r="O180" s="51"/>
      <c r="P180" s="51" t="str">
        <f t="shared" si="15"/>
        <v xml:space="preserve"> </v>
      </c>
    </row>
    <row r="181" spans="8:16" ht="15" x14ac:dyDescent="0.25">
      <c r="H181" s="50" t="str">
        <f t="shared" si="16"/>
        <v xml:space="preserve"> </v>
      </c>
      <c r="I181" s="51"/>
      <c r="J181" s="51"/>
      <c r="K181" s="51" t="str">
        <f t="shared" si="12"/>
        <v/>
      </c>
      <c r="L181" s="106" t="str">
        <f t="shared" si="17"/>
        <v xml:space="preserve"> </v>
      </c>
      <c r="M181" s="106" t="str">
        <f t="shared" si="13"/>
        <v xml:space="preserve"> </v>
      </c>
      <c r="N181" s="51" t="str">
        <f t="shared" si="14"/>
        <v xml:space="preserve"> </v>
      </c>
      <c r="O181" s="51"/>
      <c r="P181" s="51" t="str">
        <f t="shared" si="15"/>
        <v xml:space="preserve"> </v>
      </c>
    </row>
    <row r="182" spans="8:16" ht="15" x14ac:dyDescent="0.25">
      <c r="H182" s="50" t="str">
        <f t="shared" si="16"/>
        <v xml:space="preserve"> </v>
      </c>
      <c r="I182" s="51"/>
      <c r="J182" s="51"/>
      <c r="K182" s="51" t="str">
        <f t="shared" si="12"/>
        <v/>
      </c>
      <c r="L182" s="106" t="str">
        <f t="shared" si="17"/>
        <v xml:space="preserve"> </v>
      </c>
      <c r="M182" s="106" t="str">
        <f t="shared" si="13"/>
        <v xml:space="preserve"> </v>
      </c>
      <c r="N182" s="51" t="str">
        <f t="shared" si="14"/>
        <v xml:space="preserve"> </v>
      </c>
      <c r="O182" s="51"/>
      <c r="P182" s="51" t="str">
        <f t="shared" si="15"/>
        <v xml:space="preserve"> </v>
      </c>
    </row>
    <row r="183" spans="8:16" ht="15" x14ac:dyDescent="0.25">
      <c r="H183" s="50" t="str">
        <f t="shared" si="16"/>
        <v xml:space="preserve"> </v>
      </c>
      <c r="I183" s="51"/>
      <c r="J183" s="51"/>
      <c r="K183" s="51" t="str">
        <f t="shared" si="12"/>
        <v/>
      </c>
      <c r="L183" s="106" t="str">
        <f t="shared" si="17"/>
        <v xml:space="preserve"> </v>
      </c>
      <c r="M183" s="106" t="str">
        <f t="shared" si="13"/>
        <v xml:space="preserve"> </v>
      </c>
      <c r="N183" s="51" t="str">
        <f t="shared" si="14"/>
        <v xml:space="preserve"> </v>
      </c>
      <c r="O183" s="51"/>
      <c r="P183" s="51" t="str">
        <f t="shared" si="15"/>
        <v xml:space="preserve"> </v>
      </c>
    </row>
    <row r="184" spans="8:16" ht="15" x14ac:dyDescent="0.25">
      <c r="H184" s="50" t="str">
        <f t="shared" si="16"/>
        <v xml:space="preserve"> </v>
      </c>
      <c r="I184" s="51"/>
      <c r="J184" s="51"/>
      <c r="K184" s="51" t="str">
        <f t="shared" si="12"/>
        <v/>
      </c>
      <c r="L184" s="106" t="str">
        <f t="shared" si="17"/>
        <v xml:space="preserve"> </v>
      </c>
      <c r="M184" s="106" t="str">
        <f t="shared" si="13"/>
        <v xml:space="preserve"> </v>
      </c>
      <c r="N184" s="51" t="str">
        <f t="shared" si="14"/>
        <v xml:space="preserve"> </v>
      </c>
      <c r="O184" s="51"/>
      <c r="P184" s="51" t="str">
        <f t="shared" si="15"/>
        <v xml:space="preserve"> </v>
      </c>
    </row>
    <row r="185" spans="8:16" ht="15" x14ac:dyDescent="0.25">
      <c r="H185" s="50" t="str">
        <f t="shared" si="16"/>
        <v xml:space="preserve"> </v>
      </c>
      <c r="I185" s="51"/>
      <c r="J185" s="51"/>
      <c r="K185" s="51" t="str">
        <f t="shared" si="12"/>
        <v/>
      </c>
      <c r="L185" s="106" t="str">
        <f t="shared" si="17"/>
        <v xml:space="preserve"> </v>
      </c>
      <c r="M185" s="106" t="str">
        <f t="shared" si="13"/>
        <v xml:space="preserve"> </v>
      </c>
      <c r="N185" s="51" t="str">
        <f t="shared" si="14"/>
        <v xml:space="preserve"> </v>
      </c>
      <c r="O185" s="51"/>
      <c r="P185" s="51" t="str">
        <f t="shared" si="15"/>
        <v xml:space="preserve"> </v>
      </c>
    </row>
    <row r="186" spans="8:16" ht="15" x14ac:dyDescent="0.25">
      <c r="H186" s="50" t="str">
        <f t="shared" si="16"/>
        <v xml:space="preserve"> </v>
      </c>
      <c r="I186" s="51"/>
      <c r="J186" s="51"/>
      <c r="K186" s="51" t="str">
        <f t="shared" si="12"/>
        <v/>
      </c>
      <c r="L186" s="106" t="str">
        <f t="shared" si="17"/>
        <v xml:space="preserve"> </v>
      </c>
      <c r="M186" s="106" t="str">
        <f t="shared" si="13"/>
        <v xml:space="preserve"> </v>
      </c>
      <c r="N186" s="51" t="str">
        <f t="shared" si="14"/>
        <v xml:space="preserve"> </v>
      </c>
      <c r="O186" s="51"/>
      <c r="P186" s="51" t="str">
        <f t="shared" si="15"/>
        <v xml:space="preserve"> </v>
      </c>
    </row>
    <row r="187" spans="8:16" ht="15" x14ac:dyDescent="0.25">
      <c r="H187" s="50" t="str">
        <f t="shared" si="16"/>
        <v xml:space="preserve"> </v>
      </c>
      <c r="I187" s="51"/>
      <c r="J187" s="51"/>
      <c r="K187" s="51" t="str">
        <f t="shared" si="12"/>
        <v/>
      </c>
      <c r="L187" s="106" t="str">
        <f t="shared" si="17"/>
        <v xml:space="preserve"> </v>
      </c>
      <c r="M187" s="106" t="str">
        <f t="shared" si="13"/>
        <v xml:space="preserve"> </v>
      </c>
      <c r="N187" s="51" t="str">
        <f t="shared" si="14"/>
        <v xml:space="preserve"> </v>
      </c>
      <c r="O187" s="51"/>
      <c r="P187" s="51" t="str">
        <f t="shared" si="15"/>
        <v xml:space="preserve"> </v>
      </c>
    </row>
    <row r="188" spans="8:16" ht="15" x14ac:dyDescent="0.25">
      <c r="H188" s="50" t="str">
        <f t="shared" si="16"/>
        <v xml:space="preserve"> </v>
      </c>
      <c r="I188" s="51"/>
      <c r="J188" s="51"/>
      <c r="K188" s="51" t="str">
        <f t="shared" si="12"/>
        <v/>
      </c>
      <c r="L188" s="106" t="str">
        <f t="shared" si="17"/>
        <v xml:space="preserve"> </v>
      </c>
      <c r="M188" s="106" t="str">
        <f t="shared" si="13"/>
        <v xml:space="preserve"> </v>
      </c>
      <c r="N188" s="51" t="str">
        <f t="shared" si="14"/>
        <v xml:space="preserve"> </v>
      </c>
      <c r="O188" s="51"/>
      <c r="P188" s="51" t="str">
        <f t="shared" si="15"/>
        <v xml:space="preserve"> </v>
      </c>
    </row>
    <row r="189" spans="8:16" ht="15" x14ac:dyDescent="0.25">
      <c r="H189" s="50" t="str">
        <f t="shared" si="16"/>
        <v xml:space="preserve"> </v>
      </c>
      <c r="I189" s="51"/>
      <c r="J189" s="51"/>
      <c r="K189" s="51" t="str">
        <f t="shared" si="12"/>
        <v/>
      </c>
      <c r="L189" s="106" t="str">
        <f t="shared" si="17"/>
        <v xml:space="preserve"> </v>
      </c>
      <c r="M189" s="106" t="str">
        <f t="shared" si="13"/>
        <v xml:space="preserve"> </v>
      </c>
      <c r="N189" s="51" t="str">
        <f t="shared" si="14"/>
        <v xml:space="preserve"> </v>
      </c>
      <c r="O189" s="51"/>
      <c r="P189" s="51" t="str">
        <f t="shared" si="15"/>
        <v xml:space="preserve"> </v>
      </c>
    </row>
    <row r="190" spans="8:16" ht="15" x14ac:dyDescent="0.25">
      <c r="H190" s="50" t="str">
        <f t="shared" si="16"/>
        <v xml:space="preserve"> </v>
      </c>
      <c r="I190" s="51"/>
      <c r="J190" s="51"/>
      <c r="K190" s="51" t="str">
        <f t="shared" si="12"/>
        <v/>
      </c>
      <c r="L190" s="106" t="str">
        <f t="shared" si="17"/>
        <v xml:space="preserve"> </v>
      </c>
      <c r="M190" s="106" t="str">
        <f t="shared" si="13"/>
        <v xml:space="preserve"> </v>
      </c>
      <c r="N190" s="51" t="str">
        <f t="shared" si="14"/>
        <v xml:space="preserve"> </v>
      </c>
      <c r="O190" s="51"/>
      <c r="P190" s="51" t="str">
        <f t="shared" si="15"/>
        <v xml:space="preserve"> </v>
      </c>
    </row>
    <row r="191" spans="8:16" ht="15" x14ac:dyDescent="0.25">
      <c r="H191" s="50" t="str">
        <f t="shared" si="16"/>
        <v xml:space="preserve"> </v>
      </c>
      <c r="I191" s="51"/>
      <c r="J191" s="51"/>
      <c r="K191" s="51" t="str">
        <f t="shared" si="12"/>
        <v/>
      </c>
      <c r="L191" s="106" t="str">
        <f t="shared" si="17"/>
        <v xml:space="preserve"> </v>
      </c>
      <c r="M191" s="106" t="str">
        <f t="shared" si="13"/>
        <v xml:space="preserve"> </v>
      </c>
      <c r="N191" s="51" t="str">
        <f t="shared" si="14"/>
        <v xml:space="preserve"> </v>
      </c>
      <c r="O191" s="51"/>
      <c r="P191" s="51" t="str">
        <f t="shared" si="15"/>
        <v xml:space="preserve"> </v>
      </c>
    </row>
    <row r="192" spans="8:16" ht="15" x14ac:dyDescent="0.25">
      <c r="H192" s="50" t="str">
        <f t="shared" si="16"/>
        <v xml:space="preserve"> </v>
      </c>
      <c r="I192" s="51"/>
      <c r="J192" s="51"/>
      <c r="K192" s="51" t="str">
        <f t="shared" si="12"/>
        <v/>
      </c>
      <c r="L192" s="106" t="str">
        <f t="shared" si="17"/>
        <v xml:space="preserve"> </v>
      </c>
      <c r="M192" s="106" t="str">
        <f t="shared" si="13"/>
        <v xml:space="preserve"> </v>
      </c>
      <c r="N192" s="51" t="str">
        <f t="shared" si="14"/>
        <v xml:space="preserve"> </v>
      </c>
      <c r="O192" s="51"/>
      <c r="P192" s="51" t="str">
        <f t="shared" si="15"/>
        <v xml:space="preserve"> </v>
      </c>
    </row>
    <row r="193" spans="8:16" ht="15" x14ac:dyDescent="0.25">
      <c r="H193" s="50" t="str">
        <f t="shared" si="16"/>
        <v xml:space="preserve"> </v>
      </c>
      <c r="I193" s="51"/>
      <c r="J193" s="51"/>
      <c r="K193" s="51" t="str">
        <f t="shared" si="12"/>
        <v/>
      </c>
      <c r="L193" s="106" t="str">
        <f t="shared" si="17"/>
        <v xml:space="preserve"> </v>
      </c>
      <c r="M193" s="106" t="str">
        <f t="shared" si="13"/>
        <v xml:space="preserve"> </v>
      </c>
      <c r="N193" s="51" t="str">
        <f t="shared" si="14"/>
        <v xml:space="preserve"> </v>
      </c>
      <c r="O193" s="51"/>
      <c r="P193" s="51" t="str">
        <f t="shared" si="15"/>
        <v xml:space="preserve"> </v>
      </c>
    </row>
    <row r="194" spans="8:16" ht="15" x14ac:dyDescent="0.25">
      <c r="H194" s="50" t="str">
        <f t="shared" si="16"/>
        <v xml:space="preserve"> </v>
      </c>
      <c r="I194" s="51"/>
      <c r="J194" s="51"/>
      <c r="K194" s="51" t="str">
        <f t="shared" si="12"/>
        <v/>
      </c>
      <c r="L194" s="106" t="str">
        <f t="shared" si="17"/>
        <v xml:space="preserve"> </v>
      </c>
      <c r="M194" s="106" t="str">
        <f t="shared" si="13"/>
        <v xml:space="preserve"> </v>
      </c>
      <c r="N194" s="51" t="str">
        <f t="shared" si="14"/>
        <v xml:space="preserve"> </v>
      </c>
      <c r="O194" s="51"/>
      <c r="P194" s="51" t="str">
        <f t="shared" si="15"/>
        <v xml:space="preserve"> </v>
      </c>
    </row>
    <row r="195" spans="8:16" ht="15" x14ac:dyDescent="0.25">
      <c r="H195" s="50" t="str">
        <f t="shared" si="16"/>
        <v xml:space="preserve"> </v>
      </c>
      <c r="I195" s="51"/>
      <c r="J195" s="51"/>
      <c r="K195" s="51" t="str">
        <f t="shared" si="12"/>
        <v/>
      </c>
      <c r="L195" s="106" t="str">
        <f t="shared" si="17"/>
        <v xml:space="preserve"> </v>
      </c>
      <c r="M195" s="106" t="str">
        <f t="shared" si="13"/>
        <v xml:space="preserve"> </v>
      </c>
      <c r="N195" s="51" t="str">
        <f t="shared" si="14"/>
        <v xml:space="preserve"> </v>
      </c>
      <c r="O195" s="51"/>
      <c r="P195" s="51" t="str">
        <f t="shared" si="15"/>
        <v xml:space="preserve"> </v>
      </c>
    </row>
    <row r="196" spans="8:16" ht="15" x14ac:dyDescent="0.25">
      <c r="H196" s="50" t="str">
        <f t="shared" si="16"/>
        <v xml:space="preserve"> </v>
      </c>
      <c r="I196" s="51"/>
      <c r="J196" s="51"/>
      <c r="K196" s="51" t="str">
        <f t="shared" si="12"/>
        <v/>
      </c>
      <c r="L196" s="106" t="str">
        <f t="shared" si="17"/>
        <v xml:space="preserve"> </v>
      </c>
      <c r="M196" s="106" t="str">
        <f t="shared" si="13"/>
        <v xml:space="preserve"> </v>
      </c>
      <c r="N196" s="51" t="str">
        <f t="shared" si="14"/>
        <v xml:space="preserve"> </v>
      </c>
      <c r="O196" s="51"/>
      <c r="P196" s="51" t="str">
        <f t="shared" si="15"/>
        <v xml:space="preserve"> </v>
      </c>
    </row>
    <row r="197" spans="8:16" ht="15" x14ac:dyDescent="0.25">
      <c r="H197" s="50" t="str">
        <f t="shared" si="16"/>
        <v xml:space="preserve"> </v>
      </c>
      <c r="I197" s="51"/>
      <c r="J197" s="51"/>
      <c r="K197" s="51" t="str">
        <f t="shared" si="12"/>
        <v/>
      </c>
      <c r="L197" s="106" t="str">
        <f t="shared" si="17"/>
        <v xml:space="preserve"> </v>
      </c>
      <c r="M197" s="106" t="str">
        <f t="shared" si="13"/>
        <v xml:space="preserve"> </v>
      </c>
      <c r="N197" s="51" t="str">
        <f t="shared" si="14"/>
        <v xml:space="preserve"> </v>
      </c>
      <c r="O197" s="51"/>
      <c r="P197" s="51" t="str">
        <f t="shared" si="15"/>
        <v xml:space="preserve"> </v>
      </c>
    </row>
    <row r="198" spans="8:16" ht="15" x14ac:dyDescent="0.25">
      <c r="H198" s="50" t="str">
        <f t="shared" si="16"/>
        <v xml:space="preserve"> </v>
      </c>
      <c r="I198" s="51"/>
      <c r="J198" s="51"/>
      <c r="K198" s="51" t="str">
        <f t="shared" si="12"/>
        <v/>
      </c>
      <c r="L198" s="106" t="str">
        <f t="shared" si="17"/>
        <v xml:space="preserve"> </v>
      </c>
      <c r="M198" s="106" t="str">
        <f t="shared" si="13"/>
        <v xml:space="preserve"> </v>
      </c>
      <c r="N198" s="51" t="str">
        <f t="shared" si="14"/>
        <v xml:space="preserve"> </v>
      </c>
      <c r="O198" s="51"/>
      <c r="P198" s="51" t="str">
        <f t="shared" si="15"/>
        <v xml:space="preserve"> </v>
      </c>
    </row>
    <row r="199" spans="8:16" ht="15" x14ac:dyDescent="0.25">
      <c r="H199" s="50" t="str">
        <f t="shared" si="16"/>
        <v xml:space="preserve"> </v>
      </c>
      <c r="I199" s="51"/>
      <c r="J199" s="51"/>
      <c r="K199" s="51" t="str">
        <f t="shared" si="12"/>
        <v/>
      </c>
      <c r="L199" s="106" t="str">
        <f t="shared" si="17"/>
        <v xml:space="preserve"> </v>
      </c>
      <c r="M199" s="106" t="str">
        <f t="shared" si="13"/>
        <v xml:space="preserve"> </v>
      </c>
      <c r="N199" s="51" t="str">
        <f t="shared" si="14"/>
        <v xml:space="preserve"> </v>
      </c>
      <c r="O199" s="51"/>
      <c r="P199" s="51" t="str">
        <f t="shared" si="15"/>
        <v xml:space="preserve"> </v>
      </c>
    </row>
    <row r="200" spans="8:16" ht="15" x14ac:dyDescent="0.25">
      <c r="H200" s="50" t="str">
        <f t="shared" si="16"/>
        <v xml:space="preserve"> </v>
      </c>
      <c r="I200" s="51"/>
      <c r="J200" s="51"/>
      <c r="K200" s="51" t="str">
        <f t="shared" si="12"/>
        <v/>
      </c>
      <c r="L200" s="106" t="str">
        <f t="shared" si="17"/>
        <v xml:space="preserve"> </v>
      </c>
      <c r="M200" s="106" t="str">
        <f t="shared" si="13"/>
        <v xml:space="preserve"> </v>
      </c>
      <c r="N200" s="51" t="str">
        <f t="shared" si="14"/>
        <v xml:space="preserve"> </v>
      </c>
      <c r="O200" s="51"/>
      <c r="P200" s="51" t="str">
        <f t="shared" si="15"/>
        <v xml:space="preserve"> </v>
      </c>
    </row>
    <row r="201" spans="8:16" ht="15" x14ac:dyDescent="0.25">
      <c r="H201" s="50" t="str">
        <f t="shared" si="16"/>
        <v xml:space="preserve"> </v>
      </c>
      <c r="I201" s="51"/>
      <c r="J201" s="51"/>
      <c r="K201" s="51" t="str">
        <f t="shared" si="12"/>
        <v/>
      </c>
      <c r="L201" s="106" t="str">
        <f t="shared" si="17"/>
        <v xml:space="preserve"> </v>
      </c>
      <c r="M201" s="106" t="str">
        <f t="shared" si="13"/>
        <v xml:space="preserve"> </v>
      </c>
      <c r="N201" s="51" t="str">
        <f t="shared" si="14"/>
        <v xml:space="preserve"> </v>
      </c>
      <c r="O201" s="51"/>
      <c r="P201" s="51" t="str">
        <f t="shared" si="15"/>
        <v xml:space="preserve"> </v>
      </c>
    </row>
    <row r="202" spans="8:16" ht="15" x14ac:dyDescent="0.25">
      <c r="H202" s="50" t="str">
        <f t="shared" si="16"/>
        <v xml:space="preserve"> </v>
      </c>
      <c r="I202" s="51"/>
      <c r="J202" s="51"/>
      <c r="K202" s="51" t="str">
        <f t="shared" si="12"/>
        <v/>
      </c>
      <c r="L202" s="106" t="str">
        <f t="shared" si="17"/>
        <v xml:space="preserve"> </v>
      </c>
      <c r="M202" s="106" t="str">
        <f t="shared" si="13"/>
        <v xml:space="preserve"> </v>
      </c>
      <c r="N202" s="51" t="str">
        <f t="shared" si="14"/>
        <v xml:space="preserve"> </v>
      </c>
      <c r="O202" s="51"/>
      <c r="P202" s="51" t="str">
        <f t="shared" si="15"/>
        <v xml:space="preserve"> </v>
      </c>
    </row>
    <row r="203" spans="8:16" ht="15" x14ac:dyDescent="0.25">
      <c r="H203" s="50" t="str">
        <f t="shared" si="16"/>
        <v xml:space="preserve"> </v>
      </c>
      <c r="I203" s="51"/>
      <c r="J203" s="51"/>
      <c r="K203" s="51" t="str">
        <f t="shared" si="12"/>
        <v/>
      </c>
      <c r="L203" s="106" t="str">
        <f t="shared" si="17"/>
        <v xml:space="preserve"> </v>
      </c>
      <c r="M203" s="106" t="str">
        <f t="shared" si="13"/>
        <v xml:space="preserve"> </v>
      </c>
      <c r="N203" s="51" t="str">
        <f t="shared" si="14"/>
        <v xml:space="preserve"> </v>
      </c>
      <c r="O203" s="51"/>
      <c r="P203" s="51" t="str">
        <f t="shared" si="15"/>
        <v xml:space="preserve"> </v>
      </c>
    </row>
    <row r="204" spans="8:16" ht="15" x14ac:dyDescent="0.25">
      <c r="H204" s="50" t="str">
        <f t="shared" si="16"/>
        <v xml:space="preserve"> </v>
      </c>
      <c r="I204" s="51"/>
      <c r="J204" s="51"/>
      <c r="K204" s="51" t="str">
        <f t="shared" si="12"/>
        <v/>
      </c>
      <c r="L204" s="106" t="str">
        <f t="shared" si="17"/>
        <v xml:space="preserve"> </v>
      </c>
      <c r="M204" s="106" t="str">
        <f t="shared" si="13"/>
        <v xml:space="preserve"> </v>
      </c>
      <c r="N204" s="51" t="str">
        <f t="shared" si="14"/>
        <v xml:space="preserve"> </v>
      </c>
      <c r="O204" s="51"/>
      <c r="P204" s="51" t="str">
        <f t="shared" si="15"/>
        <v xml:space="preserve"> </v>
      </c>
    </row>
    <row r="205" spans="8:16" ht="15" x14ac:dyDescent="0.25">
      <c r="H205" s="50" t="str">
        <f t="shared" si="16"/>
        <v xml:space="preserve"> </v>
      </c>
      <c r="I205" s="51"/>
      <c r="J205" s="51"/>
      <c r="K205" s="51" t="str">
        <f t="shared" si="12"/>
        <v/>
      </c>
      <c r="L205" s="106" t="str">
        <f t="shared" si="17"/>
        <v xml:space="preserve"> </v>
      </c>
      <c r="M205" s="106" t="str">
        <f t="shared" si="13"/>
        <v xml:space="preserve"> </v>
      </c>
      <c r="N205" s="51" t="str">
        <f t="shared" si="14"/>
        <v xml:space="preserve"> </v>
      </c>
      <c r="O205" s="51"/>
      <c r="P205" s="51" t="str">
        <f t="shared" si="15"/>
        <v xml:space="preserve"> </v>
      </c>
    </row>
    <row r="206" spans="8:16" ht="15" x14ac:dyDescent="0.25">
      <c r="H206" s="50" t="str">
        <f t="shared" si="16"/>
        <v xml:space="preserve"> </v>
      </c>
      <c r="I206" s="51"/>
      <c r="J206" s="51"/>
      <c r="K206" s="51" t="str">
        <f t="shared" si="12"/>
        <v/>
      </c>
      <c r="L206" s="106" t="str">
        <f t="shared" si="17"/>
        <v xml:space="preserve"> </v>
      </c>
      <c r="M206" s="106" t="str">
        <f t="shared" si="13"/>
        <v xml:space="preserve"> </v>
      </c>
      <c r="N206" s="51" t="str">
        <f t="shared" si="14"/>
        <v xml:space="preserve"> </v>
      </c>
      <c r="O206" s="51"/>
      <c r="P206" s="51" t="str">
        <f t="shared" si="15"/>
        <v xml:space="preserve"> </v>
      </c>
    </row>
    <row r="207" spans="8:16" ht="15" x14ac:dyDescent="0.25">
      <c r="H207" s="50" t="str">
        <f t="shared" si="16"/>
        <v xml:space="preserve"> </v>
      </c>
      <c r="I207" s="51"/>
      <c r="J207" s="51"/>
      <c r="K207" s="51" t="str">
        <f t="shared" si="12"/>
        <v/>
      </c>
      <c r="L207" s="106" t="str">
        <f t="shared" si="17"/>
        <v xml:space="preserve"> </v>
      </c>
      <c r="M207" s="106" t="str">
        <f t="shared" si="13"/>
        <v xml:space="preserve"> </v>
      </c>
      <c r="N207" s="51" t="str">
        <f t="shared" si="14"/>
        <v xml:space="preserve"> </v>
      </c>
      <c r="O207" s="51"/>
      <c r="P207" s="51" t="str">
        <f t="shared" si="15"/>
        <v xml:space="preserve"> </v>
      </c>
    </row>
    <row r="208" spans="8:16" ht="15" x14ac:dyDescent="0.25">
      <c r="H208" s="50" t="str">
        <f t="shared" si="16"/>
        <v xml:space="preserve"> </v>
      </c>
      <c r="I208" s="51"/>
      <c r="J208" s="51"/>
      <c r="K208" s="51" t="str">
        <f t="shared" si="12"/>
        <v/>
      </c>
      <c r="L208" s="106" t="str">
        <f t="shared" si="17"/>
        <v xml:space="preserve"> </v>
      </c>
      <c r="M208" s="106" t="str">
        <f t="shared" si="13"/>
        <v xml:space="preserve"> </v>
      </c>
      <c r="N208" s="51" t="str">
        <f t="shared" si="14"/>
        <v xml:space="preserve"> </v>
      </c>
      <c r="O208" s="51"/>
      <c r="P208" s="51" t="str">
        <f t="shared" si="15"/>
        <v xml:space="preserve"> </v>
      </c>
    </row>
    <row r="209" spans="8:16" ht="15" x14ac:dyDescent="0.25">
      <c r="H209" s="50" t="str">
        <f t="shared" si="16"/>
        <v xml:space="preserve"> </v>
      </c>
      <c r="I209" s="51"/>
      <c r="J209" s="51"/>
      <c r="K209" s="51" t="str">
        <f t="shared" si="12"/>
        <v/>
      </c>
      <c r="L209" s="106" t="str">
        <f t="shared" si="17"/>
        <v xml:space="preserve"> </v>
      </c>
      <c r="M209" s="106" t="str">
        <f t="shared" si="13"/>
        <v xml:space="preserve"> </v>
      </c>
      <c r="N209" s="51" t="str">
        <f t="shared" si="14"/>
        <v xml:space="preserve"> </v>
      </c>
      <c r="O209" s="51"/>
      <c r="P209" s="51" t="str">
        <f t="shared" si="15"/>
        <v xml:space="preserve"> </v>
      </c>
    </row>
    <row r="210" spans="8:16" ht="15" x14ac:dyDescent="0.25">
      <c r="H210" s="50" t="str">
        <f t="shared" si="16"/>
        <v xml:space="preserve"> </v>
      </c>
      <c r="I210" s="51"/>
      <c r="J210" s="51"/>
      <c r="K210" s="51" t="str">
        <f t="shared" si="12"/>
        <v/>
      </c>
      <c r="L210" s="106" t="str">
        <f t="shared" si="17"/>
        <v xml:space="preserve"> </v>
      </c>
      <c r="M210" s="106" t="str">
        <f t="shared" si="13"/>
        <v xml:space="preserve"> </v>
      </c>
      <c r="N210" s="51" t="str">
        <f t="shared" si="14"/>
        <v xml:space="preserve"> </v>
      </c>
      <c r="O210" s="51"/>
      <c r="P210" s="51" t="str">
        <f t="shared" si="15"/>
        <v xml:space="preserve"> </v>
      </c>
    </row>
    <row r="211" spans="8:16" ht="15" x14ac:dyDescent="0.25">
      <c r="H211" s="50" t="str">
        <f t="shared" si="16"/>
        <v xml:space="preserve"> </v>
      </c>
      <c r="I211" s="51"/>
      <c r="J211" s="51"/>
      <c r="K211" s="51" t="str">
        <f t="shared" ref="K211:K274" si="18">IF(H210&lt;=$U$17,IF(credito="Francesa",IF(H211&lt;=$U$17,$K210,0),IF(credito="Alemana",IF(H211&lt;=$U$17,L211+M211,0))),"")</f>
        <v/>
      </c>
      <c r="L211" s="106" t="str">
        <f t="shared" si="17"/>
        <v xml:space="preserve"> </v>
      </c>
      <c r="M211" s="106" t="str">
        <f t="shared" ref="M211:M274" si="19">IF(H211&lt;=$U$17,IF(credito="Francesa",K211-L211,IF(credito="Alemana",IF(H211&lt;=$U$17,$M210,0)))," ")</f>
        <v xml:space="preserve"> </v>
      </c>
      <c r="N211" s="51" t="str">
        <f t="shared" ref="N211:N274" si="20">IF(H211&lt;=$U$17,N210-M211," ")</f>
        <v xml:space="preserve"> </v>
      </c>
      <c r="O211" s="51"/>
      <c r="P211" s="51" t="str">
        <f t="shared" ref="P211:P274" si="21">IFERROR(SUM(IF(H211&lt;=$U$17,-K211," "),J211)," ")</f>
        <v xml:space="preserve"> </v>
      </c>
    </row>
    <row r="212" spans="8:16" ht="15" x14ac:dyDescent="0.25">
      <c r="H212" s="50" t="str">
        <f t="shared" ref="H212:H275" si="22">IF($H211&gt;=$U$17," ",H211+1)</f>
        <v xml:space="preserve"> </v>
      </c>
      <c r="I212" s="51"/>
      <c r="J212" s="51"/>
      <c r="K212" s="51" t="str">
        <f t="shared" si="18"/>
        <v/>
      </c>
      <c r="L212" s="106" t="str">
        <f t="shared" ref="L212:L275" si="23">IF(H212&lt;=$U$17,N211*$D$28/$D$24," ")</f>
        <v xml:space="preserve"> </v>
      </c>
      <c r="M212" s="106" t="str">
        <f t="shared" si="19"/>
        <v xml:space="preserve"> </v>
      </c>
      <c r="N212" s="51" t="str">
        <f t="shared" si="20"/>
        <v xml:space="preserve"> </v>
      </c>
      <c r="O212" s="51"/>
      <c r="P212" s="51" t="str">
        <f t="shared" si="21"/>
        <v xml:space="preserve"> </v>
      </c>
    </row>
    <row r="213" spans="8:16" ht="15" x14ac:dyDescent="0.25">
      <c r="H213" s="50" t="str">
        <f t="shared" si="22"/>
        <v xml:space="preserve"> </v>
      </c>
      <c r="I213" s="51"/>
      <c r="J213" s="51"/>
      <c r="K213" s="51" t="str">
        <f t="shared" si="18"/>
        <v/>
      </c>
      <c r="L213" s="106" t="str">
        <f t="shared" si="23"/>
        <v xml:space="preserve"> </v>
      </c>
      <c r="M213" s="106" t="str">
        <f t="shared" si="19"/>
        <v xml:space="preserve"> </v>
      </c>
      <c r="N213" s="51" t="str">
        <f t="shared" si="20"/>
        <v xml:space="preserve"> </v>
      </c>
      <c r="O213" s="51"/>
      <c r="P213" s="51" t="str">
        <f t="shared" si="21"/>
        <v xml:space="preserve"> </v>
      </c>
    </row>
    <row r="214" spans="8:16" ht="15" x14ac:dyDescent="0.25">
      <c r="H214" s="50" t="str">
        <f t="shared" si="22"/>
        <v xml:space="preserve"> </v>
      </c>
      <c r="I214" s="51"/>
      <c r="J214" s="51"/>
      <c r="K214" s="51" t="str">
        <f t="shared" si="18"/>
        <v/>
      </c>
      <c r="L214" s="106" t="str">
        <f t="shared" si="23"/>
        <v xml:space="preserve"> </v>
      </c>
      <c r="M214" s="106" t="str">
        <f t="shared" si="19"/>
        <v xml:space="preserve"> </v>
      </c>
      <c r="N214" s="51" t="str">
        <f t="shared" si="20"/>
        <v xml:space="preserve"> </v>
      </c>
      <c r="O214" s="51"/>
      <c r="P214" s="51" t="str">
        <f t="shared" si="21"/>
        <v xml:space="preserve"> </v>
      </c>
    </row>
    <row r="215" spans="8:16" ht="15" x14ac:dyDescent="0.25">
      <c r="H215" s="50" t="str">
        <f t="shared" si="22"/>
        <v xml:space="preserve"> </v>
      </c>
      <c r="I215" s="51"/>
      <c r="J215" s="51"/>
      <c r="K215" s="51" t="str">
        <f t="shared" si="18"/>
        <v/>
      </c>
      <c r="L215" s="106" t="str">
        <f t="shared" si="23"/>
        <v xml:space="preserve"> </v>
      </c>
      <c r="M215" s="106" t="str">
        <f t="shared" si="19"/>
        <v xml:space="preserve"> </v>
      </c>
      <c r="N215" s="51" t="str">
        <f t="shared" si="20"/>
        <v xml:space="preserve"> </v>
      </c>
      <c r="O215" s="51"/>
      <c r="P215" s="51" t="str">
        <f t="shared" si="21"/>
        <v xml:space="preserve"> </v>
      </c>
    </row>
    <row r="216" spans="8:16" ht="15" x14ac:dyDescent="0.25">
      <c r="H216" s="50" t="str">
        <f t="shared" si="22"/>
        <v xml:space="preserve"> </v>
      </c>
      <c r="I216" s="51"/>
      <c r="J216" s="51"/>
      <c r="K216" s="51" t="str">
        <f t="shared" si="18"/>
        <v/>
      </c>
      <c r="L216" s="106" t="str">
        <f t="shared" si="23"/>
        <v xml:space="preserve"> </v>
      </c>
      <c r="M216" s="106" t="str">
        <f t="shared" si="19"/>
        <v xml:space="preserve"> </v>
      </c>
      <c r="N216" s="51" t="str">
        <f t="shared" si="20"/>
        <v xml:space="preserve"> </v>
      </c>
      <c r="O216" s="51"/>
      <c r="P216" s="51" t="str">
        <f t="shared" si="21"/>
        <v xml:space="preserve"> </v>
      </c>
    </row>
    <row r="217" spans="8:16" ht="15" x14ac:dyDescent="0.25">
      <c r="H217" s="50" t="str">
        <f t="shared" si="22"/>
        <v xml:space="preserve"> </v>
      </c>
      <c r="I217" s="51"/>
      <c r="J217" s="51"/>
      <c r="K217" s="51" t="str">
        <f t="shared" si="18"/>
        <v/>
      </c>
      <c r="L217" s="106" t="str">
        <f t="shared" si="23"/>
        <v xml:space="preserve"> </v>
      </c>
      <c r="M217" s="106" t="str">
        <f t="shared" si="19"/>
        <v xml:space="preserve"> </v>
      </c>
      <c r="N217" s="51" t="str">
        <f t="shared" si="20"/>
        <v xml:space="preserve"> </v>
      </c>
      <c r="O217" s="51"/>
      <c r="P217" s="51" t="str">
        <f t="shared" si="21"/>
        <v xml:space="preserve"> </v>
      </c>
    </row>
    <row r="218" spans="8:16" ht="15" x14ac:dyDescent="0.25">
      <c r="H218" s="50" t="str">
        <f t="shared" si="22"/>
        <v xml:space="preserve"> </v>
      </c>
      <c r="I218" s="51"/>
      <c r="J218" s="51"/>
      <c r="K218" s="51" t="str">
        <f t="shared" si="18"/>
        <v/>
      </c>
      <c r="L218" s="106" t="str">
        <f t="shared" si="23"/>
        <v xml:space="preserve"> </v>
      </c>
      <c r="M218" s="106" t="str">
        <f t="shared" si="19"/>
        <v xml:space="preserve"> </v>
      </c>
      <c r="N218" s="51" t="str">
        <f t="shared" si="20"/>
        <v xml:space="preserve"> </v>
      </c>
      <c r="O218" s="51"/>
      <c r="P218" s="51" t="str">
        <f t="shared" si="21"/>
        <v xml:space="preserve"> </v>
      </c>
    </row>
    <row r="219" spans="8:16" ht="15" x14ac:dyDescent="0.25">
      <c r="H219" s="50" t="str">
        <f t="shared" si="22"/>
        <v xml:space="preserve"> </v>
      </c>
      <c r="I219" s="51"/>
      <c r="J219" s="51"/>
      <c r="K219" s="51" t="str">
        <f t="shared" si="18"/>
        <v/>
      </c>
      <c r="L219" s="106" t="str">
        <f t="shared" si="23"/>
        <v xml:space="preserve"> </v>
      </c>
      <c r="M219" s="106" t="str">
        <f t="shared" si="19"/>
        <v xml:space="preserve"> </v>
      </c>
      <c r="N219" s="51" t="str">
        <f t="shared" si="20"/>
        <v xml:space="preserve"> </v>
      </c>
      <c r="O219" s="51"/>
      <c r="P219" s="51" t="str">
        <f t="shared" si="21"/>
        <v xml:space="preserve"> </v>
      </c>
    </row>
    <row r="220" spans="8:16" ht="15" x14ac:dyDescent="0.25">
      <c r="H220" s="50" t="str">
        <f t="shared" si="22"/>
        <v xml:space="preserve"> </v>
      </c>
      <c r="I220" s="51"/>
      <c r="J220" s="51"/>
      <c r="K220" s="51" t="str">
        <f t="shared" si="18"/>
        <v/>
      </c>
      <c r="L220" s="106" t="str">
        <f t="shared" si="23"/>
        <v xml:space="preserve"> </v>
      </c>
      <c r="M220" s="106" t="str">
        <f t="shared" si="19"/>
        <v xml:space="preserve"> </v>
      </c>
      <c r="N220" s="51" t="str">
        <f t="shared" si="20"/>
        <v xml:space="preserve"> </v>
      </c>
      <c r="O220" s="51"/>
      <c r="P220" s="51" t="str">
        <f t="shared" si="21"/>
        <v xml:space="preserve"> </v>
      </c>
    </row>
    <row r="221" spans="8:16" ht="15" x14ac:dyDescent="0.25">
      <c r="H221" s="50" t="str">
        <f t="shared" si="22"/>
        <v xml:space="preserve"> </v>
      </c>
      <c r="I221" s="51"/>
      <c r="J221" s="51"/>
      <c r="K221" s="51" t="str">
        <f t="shared" si="18"/>
        <v/>
      </c>
      <c r="L221" s="106" t="str">
        <f t="shared" si="23"/>
        <v xml:space="preserve"> </v>
      </c>
      <c r="M221" s="106" t="str">
        <f t="shared" si="19"/>
        <v xml:space="preserve"> </v>
      </c>
      <c r="N221" s="51" t="str">
        <f t="shared" si="20"/>
        <v xml:space="preserve"> </v>
      </c>
      <c r="O221" s="51"/>
      <c r="P221" s="51" t="str">
        <f t="shared" si="21"/>
        <v xml:space="preserve"> </v>
      </c>
    </row>
    <row r="222" spans="8:16" ht="15" x14ac:dyDescent="0.25">
      <c r="H222" s="50" t="str">
        <f t="shared" si="22"/>
        <v xml:space="preserve"> </v>
      </c>
      <c r="I222" s="51"/>
      <c r="J222" s="51"/>
      <c r="K222" s="51" t="str">
        <f t="shared" si="18"/>
        <v/>
      </c>
      <c r="L222" s="106" t="str">
        <f t="shared" si="23"/>
        <v xml:space="preserve"> </v>
      </c>
      <c r="M222" s="106" t="str">
        <f t="shared" si="19"/>
        <v xml:space="preserve"> </v>
      </c>
      <c r="N222" s="51" t="str">
        <f t="shared" si="20"/>
        <v xml:space="preserve"> </v>
      </c>
      <c r="O222" s="51"/>
      <c r="P222" s="51" t="str">
        <f t="shared" si="21"/>
        <v xml:space="preserve"> </v>
      </c>
    </row>
    <row r="223" spans="8:16" ht="15" x14ac:dyDescent="0.25">
      <c r="H223" s="50" t="str">
        <f t="shared" si="22"/>
        <v xml:space="preserve"> </v>
      </c>
      <c r="I223" s="51"/>
      <c r="J223" s="51"/>
      <c r="K223" s="51" t="str">
        <f t="shared" si="18"/>
        <v/>
      </c>
      <c r="L223" s="106" t="str">
        <f t="shared" si="23"/>
        <v xml:space="preserve"> </v>
      </c>
      <c r="M223" s="106" t="str">
        <f t="shared" si="19"/>
        <v xml:space="preserve"> </v>
      </c>
      <c r="N223" s="51" t="str">
        <f t="shared" si="20"/>
        <v xml:space="preserve"> </v>
      </c>
      <c r="O223" s="51"/>
      <c r="P223" s="51" t="str">
        <f t="shared" si="21"/>
        <v xml:space="preserve"> </v>
      </c>
    </row>
    <row r="224" spans="8:16" ht="15" x14ac:dyDescent="0.25">
      <c r="H224" s="50" t="str">
        <f t="shared" si="22"/>
        <v xml:space="preserve"> </v>
      </c>
      <c r="I224" s="51"/>
      <c r="J224" s="51"/>
      <c r="K224" s="51" t="str">
        <f t="shared" si="18"/>
        <v/>
      </c>
      <c r="L224" s="106" t="str">
        <f t="shared" si="23"/>
        <v xml:space="preserve"> </v>
      </c>
      <c r="M224" s="106" t="str">
        <f t="shared" si="19"/>
        <v xml:space="preserve"> </v>
      </c>
      <c r="N224" s="51" t="str">
        <f t="shared" si="20"/>
        <v xml:space="preserve"> </v>
      </c>
      <c r="O224" s="51"/>
      <c r="P224" s="51" t="str">
        <f t="shared" si="21"/>
        <v xml:space="preserve"> </v>
      </c>
    </row>
    <row r="225" spans="8:16" ht="15" x14ac:dyDescent="0.25">
      <c r="H225" s="50" t="str">
        <f t="shared" si="22"/>
        <v xml:space="preserve"> </v>
      </c>
      <c r="I225" s="51"/>
      <c r="J225" s="51"/>
      <c r="K225" s="51" t="str">
        <f t="shared" si="18"/>
        <v/>
      </c>
      <c r="L225" s="106" t="str">
        <f t="shared" si="23"/>
        <v xml:space="preserve"> </v>
      </c>
      <c r="M225" s="106" t="str">
        <f t="shared" si="19"/>
        <v xml:space="preserve"> </v>
      </c>
      <c r="N225" s="51" t="str">
        <f t="shared" si="20"/>
        <v xml:space="preserve"> </v>
      </c>
      <c r="O225" s="51"/>
      <c r="P225" s="51" t="str">
        <f t="shared" si="21"/>
        <v xml:space="preserve"> </v>
      </c>
    </row>
    <row r="226" spans="8:16" ht="15" x14ac:dyDescent="0.25">
      <c r="H226" s="50" t="str">
        <f t="shared" si="22"/>
        <v xml:space="preserve"> </v>
      </c>
      <c r="I226" s="51"/>
      <c r="J226" s="51"/>
      <c r="K226" s="51" t="str">
        <f t="shared" si="18"/>
        <v/>
      </c>
      <c r="L226" s="106" t="str">
        <f t="shared" si="23"/>
        <v xml:space="preserve"> </v>
      </c>
      <c r="M226" s="106" t="str">
        <f t="shared" si="19"/>
        <v xml:space="preserve"> </v>
      </c>
      <c r="N226" s="51" t="str">
        <f t="shared" si="20"/>
        <v xml:space="preserve"> </v>
      </c>
      <c r="O226" s="51"/>
      <c r="P226" s="51" t="str">
        <f t="shared" si="21"/>
        <v xml:space="preserve"> </v>
      </c>
    </row>
    <row r="227" spans="8:16" ht="15" x14ac:dyDescent="0.25">
      <c r="H227" s="50" t="str">
        <f t="shared" si="22"/>
        <v xml:space="preserve"> </v>
      </c>
      <c r="I227" s="51"/>
      <c r="J227" s="51"/>
      <c r="K227" s="51" t="str">
        <f t="shared" si="18"/>
        <v/>
      </c>
      <c r="L227" s="106" t="str">
        <f t="shared" si="23"/>
        <v xml:space="preserve"> </v>
      </c>
      <c r="M227" s="106" t="str">
        <f t="shared" si="19"/>
        <v xml:space="preserve"> </v>
      </c>
      <c r="N227" s="51" t="str">
        <f t="shared" si="20"/>
        <v xml:space="preserve"> </v>
      </c>
      <c r="O227" s="51"/>
      <c r="P227" s="51" t="str">
        <f t="shared" si="21"/>
        <v xml:space="preserve"> </v>
      </c>
    </row>
    <row r="228" spans="8:16" ht="15" x14ac:dyDescent="0.25">
      <c r="H228" s="50" t="str">
        <f t="shared" si="22"/>
        <v xml:space="preserve"> </v>
      </c>
      <c r="I228" s="51"/>
      <c r="J228" s="51"/>
      <c r="K228" s="51" t="str">
        <f t="shared" si="18"/>
        <v/>
      </c>
      <c r="L228" s="106" t="str">
        <f t="shared" si="23"/>
        <v xml:space="preserve"> </v>
      </c>
      <c r="M228" s="106" t="str">
        <f t="shared" si="19"/>
        <v xml:space="preserve"> </v>
      </c>
      <c r="N228" s="51" t="str">
        <f t="shared" si="20"/>
        <v xml:space="preserve"> </v>
      </c>
      <c r="O228" s="51"/>
      <c r="P228" s="51" t="str">
        <f t="shared" si="21"/>
        <v xml:space="preserve"> </v>
      </c>
    </row>
    <row r="229" spans="8:16" ht="15" x14ac:dyDescent="0.25">
      <c r="H229" s="50" t="str">
        <f t="shared" si="22"/>
        <v xml:space="preserve"> </v>
      </c>
      <c r="I229" s="51"/>
      <c r="J229" s="51"/>
      <c r="K229" s="51" t="str">
        <f t="shared" si="18"/>
        <v/>
      </c>
      <c r="L229" s="106" t="str">
        <f t="shared" si="23"/>
        <v xml:space="preserve"> </v>
      </c>
      <c r="M229" s="106" t="str">
        <f t="shared" si="19"/>
        <v xml:space="preserve"> </v>
      </c>
      <c r="N229" s="51" t="str">
        <f t="shared" si="20"/>
        <v xml:space="preserve"> </v>
      </c>
      <c r="O229" s="51"/>
      <c r="P229" s="51" t="str">
        <f t="shared" si="21"/>
        <v xml:space="preserve"> </v>
      </c>
    </row>
    <row r="230" spans="8:16" ht="15" x14ac:dyDescent="0.25">
      <c r="H230" s="50" t="str">
        <f t="shared" si="22"/>
        <v xml:space="preserve"> </v>
      </c>
      <c r="I230" s="51"/>
      <c r="J230" s="51"/>
      <c r="K230" s="51" t="str">
        <f t="shared" si="18"/>
        <v/>
      </c>
      <c r="L230" s="106" t="str">
        <f t="shared" si="23"/>
        <v xml:space="preserve"> </v>
      </c>
      <c r="M230" s="106" t="str">
        <f t="shared" si="19"/>
        <v xml:space="preserve"> </v>
      </c>
      <c r="N230" s="51" t="str">
        <f t="shared" si="20"/>
        <v xml:space="preserve"> </v>
      </c>
      <c r="O230" s="51"/>
      <c r="P230" s="51" t="str">
        <f t="shared" si="21"/>
        <v xml:space="preserve"> </v>
      </c>
    </row>
    <row r="231" spans="8:16" ht="15" x14ac:dyDescent="0.25">
      <c r="H231" s="50" t="str">
        <f t="shared" si="22"/>
        <v xml:space="preserve"> </v>
      </c>
      <c r="I231" s="51"/>
      <c r="J231" s="51"/>
      <c r="K231" s="51" t="str">
        <f t="shared" si="18"/>
        <v/>
      </c>
      <c r="L231" s="106" t="str">
        <f t="shared" si="23"/>
        <v xml:space="preserve"> </v>
      </c>
      <c r="M231" s="106" t="str">
        <f t="shared" si="19"/>
        <v xml:space="preserve"> </v>
      </c>
      <c r="N231" s="51" t="str">
        <f t="shared" si="20"/>
        <v xml:space="preserve"> </v>
      </c>
      <c r="O231" s="51"/>
      <c r="P231" s="51" t="str">
        <f t="shared" si="21"/>
        <v xml:space="preserve"> </v>
      </c>
    </row>
    <row r="232" spans="8:16" ht="15" x14ac:dyDescent="0.25">
      <c r="H232" s="50" t="str">
        <f t="shared" si="22"/>
        <v xml:space="preserve"> </v>
      </c>
      <c r="I232" s="51"/>
      <c r="J232" s="51"/>
      <c r="K232" s="51" t="str">
        <f t="shared" si="18"/>
        <v/>
      </c>
      <c r="L232" s="106" t="str">
        <f t="shared" si="23"/>
        <v xml:space="preserve"> </v>
      </c>
      <c r="M232" s="106" t="str">
        <f t="shared" si="19"/>
        <v xml:space="preserve"> </v>
      </c>
      <c r="N232" s="51" t="str">
        <f t="shared" si="20"/>
        <v xml:space="preserve"> </v>
      </c>
      <c r="O232" s="51"/>
      <c r="P232" s="51" t="str">
        <f t="shared" si="21"/>
        <v xml:space="preserve"> </v>
      </c>
    </row>
    <row r="233" spans="8:16" ht="15" x14ac:dyDescent="0.25">
      <c r="H233" s="50" t="str">
        <f t="shared" si="22"/>
        <v xml:space="preserve"> </v>
      </c>
      <c r="I233" s="51"/>
      <c r="J233" s="51"/>
      <c r="K233" s="51" t="str">
        <f t="shared" si="18"/>
        <v/>
      </c>
      <c r="L233" s="106" t="str">
        <f t="shared" si="23"/>
        <v xml:space="preserve"> </v>
      </c>
      <c r="M233" s="106" t="str">
        <f t="shared" si="19"/>
        <v xml:space="preserve"> </v>
      </c>
      <c r="N233" s="51" t="str">
        <f t="shared" si="20"/>
        <v xml:space="preserve"> </v>
      </c>
      <c r="O233" s="51"/>
      <c r="P233" s="51" t="str">
        <f t="shared" si="21"/>
        <v xml:space="preserve"> </v>
      </c>
    </row>
    <row r="234" spans="8:16" ht="15" x14ac:dyDescent="0.25">
      <c r="H234" s="50" t="str">
        <f t="shared" si="22"/>
        <v xml:space="preserve"> </v>
      </c>
      <c r="I234" s="51"/>
      <c r="J234" s="51"/>
      <c r="K234" s="51" t="str">
        <f t="shared" si="18"/>
        <v/>
      </c>
      <c r="L234" s="106" t="str">
        <f t="shared" si="23"/>
        <v xml:space="preserve"> </v>
      </c>
      <c r="M234" s="106" t="str">
        <f t="shared" si="19"/>
        <v xml:space="preserve"> </v>
      </c>
      <c r="N234" s="51" t="str">
        <f t="shared" si="20"/>
        <v xml:space="preserve"> </v>
      </c>
      <c r="O234" s="51"/>
      <c r="P234" s="51" t="str">
        <f t="shared" si="21"/>
        <v xml:space="preserve"> </v>
      </c>
    </row>
    <row r="235" spans="8:16" ht="15" x14ac:dyDescent="0.25">
      <c r="H235" s="50" t="str">
        <f t="shared" si="22"/>
        <v xml:space="preserve"> </v>
      </c>
      <c r="I235" s="51"/>
      <c r="J235" s="51"/>
      <c r="K235" s="51" t="str">
        <f t="shared" si="18"/>
        <v/>
      </c>
      <c r="L235" s="106" t="str">
        <f t="shared" si="23"/>
        <v xml:space="preserve"> </v>
      </c>
      <c r="M235" s="106" t="str">
        <f t="shared" si="19"/>
        <v xml:space="preserve"> </v>
      </c>
      <c r="N235" s="51" t="str">
        <f t="shared" si="20"/>
        <v xml:space="preserve"> </v>
      </c>
      <c r="O235" s="51"/>
      <c r="P235" s="51" t="str">
        <f t="shared" si="21"/>
        <v xml:space="preserve"> </v>
      </c>
    </row>
    <row r="236" spans="8:16" ht="15" x14ac:dyDescent="0.25">
      <c r="H236" s="50" t="str">
        <f t="shared" si="22"/>
        <v xml:space="preserve"> </v>
      </c>
      <c r="I236" s="51"/>
      <c r="J236" s="51"/>
      <c r="K236" s="51" t="str">
        <f t="shared" si="18"/>
        <v/>
      </c>
      <c r="L236" s="106" t="str">
        <f t="shared" si="23"/>
        <v xml:space="preserve"> </v>
      </c>
      <c r="M236" s="106" t="str">
        <f t="shared" si="19"/>
        <v xml:space="preserve"> </v>
      </c>
      <c r="N236" s="51" t="str">
        <f t="shared" si="20"/>
        <v xml:space="preserve"> </v>
      </c>
      <c r="O236" s="51"/>
      <c r="P236" s="51" t="str">
        <f t="shared" si="21"/>
        <v xml:space="preserve"> </v>
      </c>
    </row>
    <row r="237" spans="8:16" ht="15" x14ac:dyDescent="0.25">
      <c r="H237" s="50" t="str">
        <f t="shared" si="22"/>
        <v xml:space="preserve"> </v>
      </c>
      <c r="I237" s="51"/>
      <c r="J237" s="51"/>
      <c r="K237" s="51" t="str">
        <f t="shared" si="18"/>
        <v/>
      </c>
      <c r="L237" s="106" t="str">
        <f t="shared" si="23"/>
        <v xml:space="preserve"> </v>
      </c>
      <c r="M237" s="106" t="str">
        <f t="shared" si="19"/>
        <v xml:space="preserve"> </v>
      </c>
      <c r="N237" s="51" t="str">
        <f t="shared" si="20"/>
        <v xml:space="preserve"> </v>
      </c>
      <c r="O237" s="51"/>
      <c r="P237" s="51" t="str">
        <f t="shared" si="21"/>
        <v xml:space="preserve"> </v>
      </c>
    </row>
    <row r="238" spans="8:16" ht="15" x14ac:dyDescent="0.25">
      <c r="H238" s="50" t="str">
        <f t="shared" si="22"/>
        <v xml:space="preserve"> </v>
      </c>
      <c r="I238" s="51"/>
      <c r="J238" s="51"/>
      <c r="K238" s="51" t="str">
        <f t="shared" si="18"/>
        <v/>
      </c>
      <c r="L238" s="106" t="str">
        <f t="shared" si="23"/>
        <v xml:space="preserve"> </v>
      </c>
      <c r="M238" s="106" t="str">
        <f t="shared" si="19"/>
        <v xml:space="preserve"> </v>
      </c>
      <c r="N238" s="51" t="str">
        <f t="shared" si="20"/>
        <v xml:space="preserve"> </v>
      </c>
      <c r="O238" s="51"/>
      <c r="P238" s="51" t="str">
        <f t="shared" si="21"/>
        <v xml:space="preserve"> </v>
      </c>
    </row>
    <row r="239" spans="8:16" ht="15" x14ac:dyDescent="0.25">
      <c r="H239" s="50" t="str">
        <f t="shared" si="22"/>
        <v xml:space="preserve"> </v>
      </c>
      <c r="I239" s="51"/>
      <c r="J239" s="51"/>
      <c r="K239" s="51" t="str">
        <f t="shared" si="18"/>
        <v/>
      </c>
      <c r="L239" s="106" t="str">
        <f t="shared" si="23"/>
        <v xml:space="preserve"> </v>
      </c>
      <c r="M239" s="106" t="str">
        <f t="shared" si="19"/>
        <v xml:space="preserve"> </v>
      </c>
      <c r="N239" s="51" t="str">
        <f t="shared" si="20"/>
        <v xml:space="preserve"> </v>
      </c>
      <c r="O239" s="51"/>
      <c r="P239" s="51" t="str">
        <f t="shared" si="21"/>
        <v xml:space="preserve"> </v>
      </c>
    </row>
    <row r="240" spans="8:16" ht="15" x14ac:dyDescent="0.25">
      <c r="H240" s="50" t="str">
        <f t="shared" si="22"/>
        <v xml:space="preserve"> </v>
      </c>
      <c r="I240" s="51"/>
      <c r="J240" s="51"/>
      <c r="K240" s="51" t="str">
        <f t="shared" si="18"/>
        <v/>
      </c>
      <c r="L240" s="106" t="str">
        <f t="shared" si="23"/>
        <v xml:space="preserve"> </v>
      </c>
      <c r="M240" s="106" t="str">
        <f t="shared" si="19"/>
        <v xml:space="preserve"> </v>
      </c>
      <c r="N240" s="51" t="str">
        <f t="shared" si="20"/>
        <v xml:space="preserve"> </v>
      </c>
      <c r="O240" s="51"/>
      <c r="P240" s="51" t="str">
        <f t="shared" si="21"/>
        <v xml:space="preserve"> </v>
      </c>
    </row>
    <row r="241" spans="8:16" ht="15" x14ac:dyDescent="0.25">
      <c r="H241" s="50" t="str">
        <f t="shared" si="22"/>
        <v xml:space="preserve"> </v>
      </c>
      <c r="I241" s="51"/>
      <c r="J241" s="51"/>
      <c r="K241" s="51" t="str">
        <f t="shared" si="18"/>
        <v/>
      </c>
      <c r="L241" s="106" t="str">
        <f t="shared" si="23"/>
        <v xml:space="preserve"> </v>
      </c>
      <c r="M241" s="106" t="str">
        <f t="shared" si="19"/>
        <v xml:space="preserve"> </v>
      </c>
      <c r="N241" s="51" t="str">
        <f t="shared" si="20"/>
        <v xml:space="preserve"> </v>
      </c>
      <c r="O241" s="51"/>
      <c r="P241" s="51" t="str">
        <f t="shared" si="21"/>
        <v xml:space="preserve"> </v>
      </c>
    </row>
    <row r="242" spans="8:16" ht="15" x14ac:dyDescent="0.25">
      <c r="H242" s="50" t="str">
        <f t="shared" si="22"/>
        <v xml:space="preserve"> </v>
      </c>
      <c r="I242" s="51"/>
      <c r="J242" s="51"/>
      <c r="K242" s="51" t="str">
        <f t="shared" si="18"/>
        <v/>
      </c>
      <c r="L242" s="106" t="str">
        <f t="shared" si="23"/>
        <v xml:space="preserve"> </v>
      </c>
      <c r="M242" s="106" t="str">
        <f t="shared" si="19"/>
        <v xml:space="preserve"> </v>
      </c>
      <c r="N242" s="51" t="str">
        <f t="shared" si="20"/>
        <v xml:space="preserve"> </v>
      </c>
      <c r="O242" s="51"/>
      <c r="P242" s="51" t="str">
        <f t="shared" si="21"/>
        <v xml:space="preserve"> </v>
      </c>
    </row>
    <row r="243" spans="8:16" ht="15" x14ac:dyDescent="0.25">
      <c r="H243" s="50" t="str">
        <f t="shared" si="22"/>
        <v xml:space="preserve"> </v>
      </c>
      <c r="I243" s="51"/>
      <c r="J243" s="51"/>
      <c r="K243" s="51" t="str">
        <f t="shared" si="18"/>
        <v/>
      </c>
      <c r="L243" s="106" t="str">
        <f t="shared" si="23"/>
        <v xml:space="preserve"> </v>
      </c>
      <c r="M243" s="106" t="str">
        <f t="shared" si="19"/>
        <v xml:space="preserve"> </v>
      </c>
      <c r="N243" s="51" t="str">
        <f t="shared" si="20"/>
        <v xml:space="preserve"> </v>
      </c>
      <c r="O243" s="51"/>
      <c r="P243" s="51" t="str">
        <f t="shared" si="21"/>
        <v xml:space="preserve"> </v>
      </c>
    </row>
    <row r="244" spans="8:16" ht="15" x14ac:dyDescent="0.25">
      <c r="H244" s="50" t="str">
        <f t="shared" si="22"/>
        <v xml:space="preserve"> </v>
      </c>
      <c r="I244" s="51"/>
      <c r="J244" s="51"/>
      <c r="K244" s="51" t="str">
        <f t="shared" si="18"/>
        <v/>
      </c>
      <c r="L244" s="106" t="str">
        <f t="shared" si="23"/>
        <v xml:space="preserve"> </v>
      </c>
      <c r="M244" s="106" t="str">
        <f t="shared" si="19"/>
        <v xml:space="preserve"> </v>
      </c>
      <c r="N244" s="51" t="str">
        <f t="shared" si="20"/>
        <v xml:space="preserve"> </v>
      </c>
      <c r="O244" s="51"/>
      <c r="P244" s="51" t="str">
        <f t="shared" si="21"/>
        <v xml:space="preserve"> </v>
      </c>
    </row>
    <row r="245" spans="8:16" ht="15" x14ac:dyDescent="0.25">
      <c r="H245" s="50" t="str">
        <f t="shared" si="22"/>
        <v xml:space="preserve"> </v>
      </c>
      <c r="I245" s="51"/>
      <c r="J245" s="51"/>
      <c r="K245" s="51" t="str">
        <f t="shared" si="18"/>
        <v/>
      </c>
      <c r="L245" s="106" t="str">
        <f t="shared" si="23"/>
        <v xml:space="preserve"> </v>
      </c>
      <c r="M245" s="106" t="str">
        <f t="shared" si="19"/>
        <v xml:space="preserve"> </v>
      </c>
      <c r="N245" s="51" t="str">
        <f t="shared" si="20"/>
        <v xml:space="preserve"> </v>
      </c>
      <c r="O245" s="51"/>
      <c r="P245" s="51" t="str">
        <f t="shared" si="21"/>
        <v xml:space="preserve"> </v>
      </c>
    </row>
    <row r="246" spans="8:16" ht="15" x14ac:dyDescent="0.25">
      <c r="H246" s="50" t="str">
        <f t="shared" si="22"/>
        <v xml:space="preserve"> </v>
      </c>
      <c r="I246" s="51"/>
      <c r="J246" s="51"/>
      <c r="K246" s="51" t="str">
        <f t="shared" si="18"/>
        <v/>
      </c>
      <c r="L246" s="106" t="str">
        <f t="shared" si="23"/>
        <v xml:space="preserve"> </v>
      </c>
      <c r="M246" s="106" t="str">
        <f t="shared" si="19"/>
        <v xml:space="preserve"> </v>
      </c>
      <c r="N246" s="51" t="str">
        <f t="shared" si="20"/>
        <v xml:space="preserve"> </v>
      </c>
      <c r="O246" s="51"/>
      <c r="P246" s="51" t="str">
        <f t="shared" si="21"/>
        <v xml:space="preserve"> </v>
      </c>
    </row>
    <row r="247" spans="8:16" ht="15" x14ac:dyDescent="0.25">
      <c r="H247" s="50" t="str">
        <f t="shared" si="22"/>
        <v xml:space="preserve"> </v>
      </c>
      <c r="I247" s="51"/>
      <c r="J247" s="51"/>
      <c r="K247" s="51" t="str">
        <f t="shared" si="18"/>
        <v/>
      </c>
      <c r="L247" s="106" t="str">
        <f t="shared" si="23"/>
        <v xml:space="preserve"> </v>
      </c>
      <c r="M247" s="106" t="str">
        <f t="shared" si="19"/>
        <v xml:space="preserve"> </v>
      </c>
      <c r="N247" s="51" t="str">
        <f t="shared" si="20"/>
        <v xml:space="preserve"> </v>
      </c>
      <c r="O247" s="51"/>
      <c r="P247" s="51" t="str">
        <f t="shared" si="21"/>
        <v xml:space="preserve"> </v>
      </c>
    </row>
    <row r="248" spans="8:16" ht="15" x14ac:dyDescent="0.25">
      <c r="H248" s="50" t="str">
        <f t="shared" si="22"/>
        <v xml:space="preserve"> </v>
      </c>
      <c r="I248" s="51"/>
      <c r="J248" s="51"/>
      <c r="K248" s="51" t="str">
        <f t="shared" si="18"/>
        <v/>
      </c>
      <c r="L248" s="106" t="str">
        <f t="shared" si="23"/>
        <v xml:space="preserve"> </v>
      </c>
      <c r="M248" s="106" t="str">
        <f t="shared" si="19"/>
        <v xml:space="preserve"> </v>
      </c>
      <c r="N248" s="51" t="str">
        <f t="shared" si="20"/>
        <v xml:space="preserve"> </v>
      </c>
      <c r="O248" s="51"/>
      <c r="P248" s="51" t="str">
        <f t="shared" si="21"/>
        <v xml:space="preserve"> </v>
      </c>
    </row>
    <row r="249" spans="8:16" ht="15" x14ac:dyDescent="0.25">
      <c r="H249" s="50" t="str">
        <f t="shared" si="22"/>
        <v xml:space="preserve"> </v>
      </c>
      <c r="I249" s="51"/>
      <c r="J249" s="51"/>
      <c r="K249" s="51" t="str">
        <f t="shared" si="18"/>
        <v/>
      </c>
      <c r="L249" s="106" t="str">
        <f t="shared" si="23"/>
        <v xml:space="preserve"> </v>
      </c>
      <c r="M249" s="106" t="str">
        <f t="shared" si="19"/>
        <v xml:space="preserve"> </v>
      </c>
      <c r="N249" s="51" t="str">
        <f t="shared" si="20"/>
        <v xml:space="preserve"> </v>
      </c>
      <c r="O249" s="51"/>
      <c r="P249" s="51" t="str">
        <f t="shared" si="21"/>
        <v xml:space="preserve"> </v>
      </c>
    </row>
    <row r="250" spans="8:16" ht="15" x14ac:dyDescent="0.25">
      <c r="H250" s="50" t="str">
        <f t="shared" si="22"/>
        <v xml:space="preserve"> </v>
      </c>
      <c r="I250" s="51"/>
      <c r="J250" s="51"/>
      <c r="K250" s="51" t="str">
        <f t="shared" si="18"/>
        <v/>
      </c>
      <c r="L250" s="106" t="str">
        <f t="shared" si="23"/>
        <v xml:space="preserve"> </v>
      </c>
      <c r="M250" s="106" t="str">
        <f t="shared" si="19"/>
        <v xml:space="preserve"> </v>
      </c>
      <c r="N250" s="51" t="str">
        <f t="shared" si="20"/>
        <v xml:space="preserve"> </v>
      </c>
      <c r="O250" s="51"/>
      <c r="P250" s="51" t="str">
        <f t="shared" si="21"/>
        <v xml:space="preserve"> </v>
      </c>
    </row>
    <row r="251" spans="8:16" ht="15" x14ac:dyDescent="0.25">
      <c r="H251" s="50" t="str">
        <f t="shared" si="22"/>
        <v xml:space="preserve"> </v>
      </c>
      <c r="I251" s="51"/>
      <c r="J251" s="51"/>
      <c r="K251" s="51" t="str">
        <f t="shared" si="18"/>
        <v/>
      </c>
      <c r="L251" s="106" t="str">
        <f t="shared" si="23"/>
        <v xml:space="preserve"> </v>
      </c>
      <c r="M251" s="106" t="str">
        <f t="shared" si="19"/>
        <v xml:space="preserve"> </v>
      </c>
      <c r="N251" s="51" t="str">
        <f t="shared" si="20"/>
        <v xml:space="preserve"> </v>
      </c>
      <c r="O251" s="51"/>
      <c r="P251" s="51" t="str">
        <f t="shared" si="21"/>
        <v xml:space="preserve"> </v>
      </c>
    </row>
    <row r="252" spans="8:16" ht="15" x14ac:dyDescent="0.25">
      <c r="H252" s="50" t="str">
        <f t="shared" si="22"/>
        <v xml:space="preserve"> </v>
      </c>
      <c r="I252" s="51"/>
      <c r="J252" s="51"/>
      <c r="K252" s="51" t="str">
        <f t="shared" si="18"/>
        <v/>
      </c>
      <c r="L252" s="106" t="str">
        <f t="shared" si="23"/>
        <v xml:space="preserve"> </v>
      </c>
      <c r="M252" s="106" t="str">
        <f t="shared" si="19"/>
        <v xml:space="preserve"> </v>
      </c>
      <c r="N252" s="51" t="str">
        <f t="shared" si="20"/>
        <v xml:space="preserve"> </v>
      </c>
      <c r="O252" s="51"/>
      <c r="P252" s="51" t="str">
        <f t="shared" si="21"/>
        <v xml:space="preserve"> </v>
      </c>
    </row>
    <row r="253" spans="8:16" ht="15" x14ac:dyDescent="0.25">
      <c r="H253" s="50" t="str">
        <f t="shared" si="22"/>
        <v xml:space="preserve"> </v>
      </c>
      <c r="I253" s="51"/>
      <c r="J253" s="51"/>
      <c r="K253" s="51" t="str">
        <f t="shared" si="18"/>
        <v/>
      </c>
      <c r="L253" s="106" t="str">
        <f t="shared" si="23"/>
        <v xml:space="preserve"> </v>
      </c>
      <c r="M253" s="106" t="str">
        <f t="shared" si="19"/>
        <v xml:space="preserve"> </v>
      </c>
      <c r="N253" s="51" t="str">
        <f t="shared" si="20"/>
        <v xml:space="preserve"> </v>
      </c>
      <c r="O253" s="51"/>
      <c r="P253" s="51" t="str">
        <f t="shared" si="21"/>
        <v xml:space="preserve"> </v>
      </c>
    </row>
    <row r="254" spans="8:16" ht="15" x14ac:dyDescent="0.25">
      <c r="H254" s="50" t="str">
        <f t="shared" si="22"/>
        <v xml:space="preserve"> </v>
      </c>
      <c r="I254" s="51"/>
      <c r="J254" s="51"/>
      <c r="K254" s="51" t="str">
        <f t="shared" si="18"/>
        <v/>
      </c>
      <c r="L254" s="106" t="str">
        <f t="shared" si="23"/>
        <v xml:space="preserve"> </v>
      </c>
      <c r="M254" s="106" t="str">
        <f t="shared" si="19"/>
        <v xml:space="preserve"> </v>
      </c>
      <c r="N254" s="51" t="str">
        <f t="shared" si="20"/>
        <v xml:space="preserve"> </v>
      </c>
      <c r="O254" s="51"/>
      <c r="P254" s="51" t="str">
        <f t="shared" si="21"/>
        <v xml:space="preserve"> </v>
      </c>
    </row>
    <row r="255" spans="8:16" ht="15" x14ac:dyDescent="0.25">
      <c r="H255" s="50" t="str">
        <f t="shared" si="22"/>
        <v xml:space="preserve"> </v>
      </c>
      <c r="I255" s="51"/>
      <c r="J255" s="51"/>
      <c r="K255" s="51" t="str">
        <f t="shared" si="18"/>
        <v/>
      </c>
      <c r="L255" s="106" t="str">
        <f t="shared" si="23"/>
        <v xml:space="preserve"> </v>
      </c>
      <c r="M255" s="106" t="str">
        <f t="shared" si="19"/>
        <v xml:space="preserve"> </v>
      </c>
      <c r="N255" s="51" t="str">
        <f t="shared" si="20"/>
        <v xml:space="preserve"> </v>
      </c>
      <c r="O255" s="51"/>
      <c r="P255" s="51" t="str">
        <f t="shared" si="21"/>
        <v xml:space="preserve"> </v>
      </c>
    </row>
    <row r="256" spans="8:16" ht="15" x14ac:dyDescent="0.25">
      <c r="H256" s="50" t="str">
        <f t="shared" si="22"/>
        <v xml:space="preserve"> </v>
      </c>
      <c r="I256" s="51"/>
      <c r="J256" s="51"/>
      <c r="K256" s="51" t="str">
        <f t="shared" si="18"/>
        <v/>
      </c>
      <c r="L256" s="106" t="str">
        <f t="shared" si="23"/>
        <v xml:space="preserve"> </v>
      </c>
      <c r="M256" s="106" t="str">
        <f t="shared" si="19"/>
        <v xml:space="preserve"> </v>
      </c>
      <c r="N256" s="51" t="str">
        <f t="shared" si="20"/>
        <v xml:space="preserve"> </v>
      </c>
      <c r="O256" s="51"/>
      <c r="P256" s="51" t="str">
        <f t="shared" si="21"/>
        <v xml:space="preserve"> </v>
      </c>
    </row>
    <row r="257" spans="8:16" ht="15" x14ac:dyDescent="0.25">
      <c r="H257" s="50" t="str">
        <f t="shared" si="22"/>
        <v xml:space="preserve"> </v>
      </c>
      <c r="I257" s="51"/>
      <c r="J257" s="51"/>
      <c r="K257" s="51" t="str">
        <f t="shared" si="18"/>
        <v/>
      </c>
      <c r="L257" s="106" t="str">
        <f t="shared" si="23"/>
        <v xml:space="preserve"> </v>
      </c>
      <c r="M257" s="106" t="str">
        <f t="shared" si="19"/>
        <v xml:space="preserve"> </v>
      </c>
      <c r="N257" s="51" t="str">
        <f t="shared" si="20"/>
        <v xml:space="preserve"> </v>
      </c>
      <c r="O257" s="51"/>
      <c r="P257" s="51" t="str">
        <f t="shared" si="21"/>
        <v xml:space="preserve"> </v>
      </c>
    </row>
    <row r="258" spans="8:16" ht="15" x14ac:dyDescent="0.25">
      <c r="H258" s="50" t="str">
        <f t="shared" si="22"/>
        <v xml:space="preserve"> </v>
      </c>
      <c r="I258" s="51"/>
      <c r="J258" s="51"/>
      <c r="K258" s="51" t="str">
        <f t="shared" si="18"/>
        <v/>
      </c>
      <c r="L258" s="106" t="str">
        <f t="shared" si="23"/>
        <v xml:space="preserve"> </v>
      </c>
      <c r="M258" s="106" t="str">
        <f t="shared" si="19"/>
        <v xml:space="preserve"> </v>
      </c>
      <c r="N258" s="51" t="str">
        <f t="shared" si="20"/>
        <v xml:space="preserve"> </v>
      </c>
      <c r="O258" s="51"/>
      <c r="P258" s="51" t="str">
        <f t="shared" si="21"/>
        <v xml:space="preserve"> </v>
      </c>
    </row>
    <row r="259" spans="8:16" ht="15" x14ac:dyDescent="0.25">
      <c r="H259" s="50" t="str">
        <f t="shared" si="22"/>
        <v xml:space="preserve"> </v>
      </c>
      <c r="I259" s="51"/>
      <c r="J259" s="51"/>
      <c r="K259" s="51" t="str">
        <f t="shared" si="18"/>
        <v/>
      </c>
      <c r="L259" s="106" t="str">
        <f t="shared" si="23"/>
        <v xml:space="preserve"> </v>
      </c>
      <c r="M259" s="106" t="str">
        <f t="shared" si="19"/>
        <v xml:space="preserve"> </v>
      </c>
      <c r="N259" s="51" t="str">
        <f t="shared" si="20"/>
        <v xml:space="preserve"> </v>
      </c>
      <c r="O259" s="51"/>
      <c r="P259" s="51" t="str">
        <f t="shared" si="21"/>
        <v xml:space="preserve"> </v>
      </c>
    </row>
    <row r="260" spans="8:16" ht="15" x14ac:dyDescent="0.25">
      <c r="H260" s="50" t="str">
        <f t="shared" si="22"/>
        <v xml:space="preserve"> </v>
      </c>
      <c r="I260" s="51"/>
      <c r="J260" s="51"/>
      <c r="K260" s="51" t="str">
        <f t="shared" si="18"/>
        <v/>
      </c>
      <c r="L260" s="106" t="str">
        <f t="shared" si="23"/>
        <v xml:space="preserve"> </v>
      </c>
      <c r="M260" s="106" t="str">
        <f t="shared" si="19"/>
        <v xml:space="preserve"> </v>
      </c>
      <c r="N260" s="51" t="str">
        <f t="shared" si="20"/>
        <v xml:space="preserve"> </v>
      </c>
      <c r="O260" s="51"/>
      <c r="P260" s="51" t="str">
        <f t="shared" si="21"/>
        <v xml:space="preserve"> </v>
      </c>
    </row>
    <row r="261" spans="8:16" ht="15" x14ac:dyDescent="0.25">
      <c r="H261" s="50" t="str">
        <f t="shared" si="22"/>
        <v xml:space="preserve"> </v>
      </c>
      <c r="I261" s="51"/>
      <c r="J261" s="51"/>
      <c r="K261" s="51" t="str">
        <f t="shared" si="18"/>
        <v/>
      </c>
      <c r="L261" s="106" t="str">
        <f t="shared" si="23"/>
        <v xml:space="preserve"> </v>
      </c>
      <c r="M261" s="106" t="str">
        <f t="shared" si="19"/>
        <v xml:space="preserve"> </v>
      </c>
      <c r="N261" s="51" t="str">
        <f t="shared" si="20"/>
        <v xml:space="preserve"> </v>
      </c>
      <c r="O261" s="51"/>
      <c r="P261" s="51" t="str">
        <f t="shared" si="21"/>
        <v xml:space="preserve"> </v>
      </c>
    </row>
    <row r="262" spans="8:16" ht="15" x14ac:dyDescent="0.25">
      <c r="H262" s="50" t="str">
        <f t="shared" si="22"/>
        <v xml:space="preserve"> </v>
      </c>
      <c r="I262" s="51"/>
      <c r="J262" s="51"/>
      <c r="K262" s="51" t="str">
        <f t="shared" si="18"/>
        <v/>
      </c>
      <c r="L262" s="106" t="str">
        <f t="shared" si="23"/>
        <v xml:space="preserve"> </v>
      </c>
      <c r="M262" s="106" t="str">
        <f t="shared" si="19"/>
        <v xml:space="preserve"> </v>
      </c>
      <c r="N262" s="51" t="str">
        <f t="shared" si="20"/>
        <v xml:space="preserve"> </v>
      </c>
      <c r="O262" s="51"/>
      <c r="P262" s="51" t="str">
        <f t="shared" si="21"/>
        <v xml:space="preserve"> </v>
      </c>
    </row>
    <row r="263" spans="8:16" ht="15" x14ac:dyDescent="0.25">
      <c r="H263" s="50" t="str">
        <f t="shared" si="22"/>
        <v xml:space="preserve"> </v>
      </c>
      <c r="I263" s="51"/>
      <c r="J263" s="51"/>
      <c r="K263" s="51" t="str">
        <f t="shared" si="18"/>
        <v/>
      </c>
      <c r="L263" s="106" t="str">
        <f t="shared" si="23"/>
        <v xml:space="preserve"> </v>
      </c>
      <c r="M263" s="106" t="str">
        <f t="shared" si="19"/>
        <v xml:space="preserve"> </v>
      </c>
      <c r="N263" s="51" t="str">
        <f t="shared" si="20"/>
        <v xml:space="preserve"> </v>
      </c>
      <c r="O263" s="51"/>
      <c r="P263" s="51" t="str">
        <f t="shared" si="21"/>
        <v xml:space="preserve"> </v>
      </c>
    </row>
    <row r="264" spans="8:16" ht="15" x14ac:dyDescent="0.25">
      <c r="H264" s="50" t="str">
        <f t="shared" si="22"/>
        <v xml:space="preserve"> </v>
      </c>
      <c r="I264" s="51"/>
      <c r="J264" s="51"/>
      <c r="K264" s="51" t="str">
        <f t="shared" si="18"/>
        <v/>
      </c>
      <c r="L264" s="106" t="str">
        <f t="shared" si="23"/>
        <v xml:space="preserve"> </v>
      </c>
      <c r="M264" s="106" t="str">
        <f t="shared" si="19"/>
        <v xml:space="preserve"> </v>
      </c>
      <c r="N264" s="51" t="str">
        <f t="shared" si="20"/>
        <v xml:space="preserve"> </v>
      </c>
      <c r="O264" s="51"/>
      <c r="P264" s="51" t="str">
        <f t="shared" si="21"/>
        <v xml:space="preserve"> </v>
      </c>
    </row>
    <row r="265" spans="8:16" ht="15" x14ac:dyDescent="0.25">
      <c r="H265" s="50" t="str">
        <f t="shared" si="22"/>
        <v xml:space="preserve"> </v>
      </c>
      <c r="I265" s="51"/>
      <c r="J265" s="51"/>
      <c r="K265" s="51" t="str">
        <f t="shared" si="18"/>
        <v/>
      </c>
      <c r="L265" s="106" t="str">
        <f t="shared" si="23"/>
        <v xml:space="preserve"> </v>
      </c>
      <c r="M265" s="106" t="str">
        <f t="shared" si="19"/>
        <v xml:space="preserve"> </v>
      </c>
      <c r="N265" s="51" t="str">
        <f t="shared" si="20"/>
        <v xml:space="preserve"> </v>
      </c>
      <c r="O265" s="51"/>
      <c r="P265" s="51" t="str">
        <f t="shared" si="21"/>
        <v xml:space="preserve"> </v>
      </c>
    </row>
    <row r="266" spans="8:16" ht="15" x14ac:dyDescent="0.25">
      <c r="H266" s="50" t="str">
        <f t="shared" si="22"/>
        <v xml:space="preserve"> </v>
      </c>
      <c r="I266" s="51"/>
      <c r="J266" s="51"/>
      <c r="K266" s="51" t="str">
        <f t="shared" si="18"/>
        <v/>
      </c>
      <c r="L266" s="106" t="str">
        <f t="shared" si="23"/>
        <v xml:space="preserve"> </v>
      </c>
      <c r="M266" s="106" t="str">
        <f t="shared" si="19"/>
        <v xml:space="preserve"> </v>
      </c>
      <c r="N266" s="51" t="str">
        <f t="shared" si="20"/>
        <v xml:space="preserve"> </v>
      </c>
      <c r="O266" s="51"/>
      <c r="P266" s="51" t="str">
        <f t="shared" si="21"/>
        <v xml:space="preserve"> </v>
      </c>
    </row>
    <row r="267" spans="8:16" ht="15" x14ac:dyDescent="0.25">
      <c r="H267" s="50" t="str">
        <f t="shared" si="22"/>
        <v xml:space="preserve"> </v>
      </c>
      <c r="I267" s="51"/>
      <c r="J267" s="51"/>
      <c r="K267" s="51" t="str">
        <f t="shared" si="18"/>
        <v/>
      </c>
      <c r="L267" s="106" t="str">
        <f t="shared" si="23"/>
        <v xml:space="preserve"> </v>
      </c>
      <c r="M267" s="106" t="str">
        <f t="shared" si="19"/>
        <v xml:space="preserve"> </v>
      </c>
      <c r="N267" s="51" t="str">
        <f t="shared" si="20"/>
        <v xml:space="preserve"> </v>
      </c>
      <c r="O267" s="51"/>
      <c r="P267" s="51" t="str">
        <f t="shared" si="21"/>
        <v xml:space="preserve"> </v>
      </c>
    </row>
    <row r="268" spans="8:16" ht="15" x14ac:dyDescent="0.25">
      <c r="H268" s="50" t="str">
        <f t="shared" si="22"/>
        <v xml:space="preserve"> </v>
      </c>
      <c r="I268" s="51"/>
      <c r="J268" s="51"/>
      <c r="K268" s="51" t="str">
        <f t="shared" si="18"/>
        <v/>
      </c>
      <c r="L268" s="106" t="str">
        <f t="shared" si="23"/>
        <v xml:space="preserve"> </v>
      </c>
      <c r="M268" s="106" t="str">
        <f t="shared" si="19"/>
        <v xml:space="preserve"> </v>
      </c>
      <c r="N268" s="51" t="str">
        <f t="shared" si="20"/>
        <v xml:space="preserve"> </v>
      </c>
      <c r="O268" s="51"/>
      <c r="P268" s="51" t="str">
        <f t="shared" si="21"/>
        <v xml:space="preserve"> </v>
      </c>
    </row>
    <row r="269" spans="8:16" ht="15" x14ac:dyDescent="0.25">
      <c r="H269" s="50" t="str">
        <f t="shared" si="22"/>
        <v xml:space="preserve"> </v>
      </c>
      <c r="I269" s="51"/>
      <c r="J269" s="51"/>
      <c r="K269" s="51" t="str">
        <f t="shared" si="18"/>
        <v/>
      </c>
      <c r="L269" s="106" t="str">
        <f t="shared" si="23"/>
        <v xml:space="preserve"> </v>
      </c>
      <c r="M269" s="106" t="str">
        <f t="shared" si="19"/>
        <v xml:space="preserve"> </v>
      </c>
      <c r="N269" s="51" t="str">
        <f t="shared" si="20"/>
        <v xml:space="preserve"> </v>
      </c>
      <c r="O269" s="51"/>
      <c r="P269" s="51" t="str">
        <f t="shared" si="21"/>
        <v xml:space="preserve"> </v>
      </c>
    </row>
    <row r="270" spans="8:16" ht="15" x14ac:dyDescent="0.25">
      <c r="H270" s="50" t="str">
        <f t="shared" si="22"/>
        <v xml:space="preserve"> </v>
      </c>
      <c r="I270" s="51"/>
      <c r="J270" s="51"/>
      <c r="K270" s="51" t="str">
        <f t="shared" si="18"/>
        <v/>
      </c>
      <c r="L270" s="106" t="str">
        <f t="shared" si="23"/>
        <v xml:space="preserve"> </v>
      </c>
      <c r="M270" s="106" t="str">
        <f t="shared" si="19"/>
        <v xml:space="preserve"> </v>
      </c>
      <c r="N270" s="51" t="str">
        <f t="shared" si="20"/>
        <v xml:space="preserve"> </v>
      </c>
      <c r="O270" s="51"/>
      <c r="P270" s="51" t="str">
        <f t="shared" si="21"/>
        <v xml:space="preserve"> </v>
      </c>
    </row>
    <row r="271" spans="8:16" ht="15" x14ac:dyDescent="0.25">
      <c r="H271" s="50" t="str">
        <f t="shared" si="22"/>
        <v xml:space="preserve"> </v>
      </c>
      <c r="I271" s="51"/>
      <c r="J271" s="51"/>
      <c r="K271" s="51" t="str">
        <f t="shared" si="18"/>
        <v/>
      </c>
      <c r="L271" s="106" t="str">
        <f t="shared" si="23"/>
        <v xml:space="preserve"> </v>
      </c>
      <c r="M271" s="106" t="str">
        <f t="shared" si="19"/>
        <v xml:space="preserve"> </v>
      </c>
      <c r="N271" s="51" t="str">
        <f t="shared" si="20"/>
        <v xml:space="preserve"> </v>
      </c>
      <c r="O271" s="51"/>
      <c r="P271" s="51" t="str">
        <f t="shared" si="21"/>
        <v xml:space="preserve"> </v>
      </c>
    </row>
    <row r="272" spans="8:16" ht="15" x14ac:dyDescent="0.25">
      <c r="H272" s="50" t="str">
        <f t="shared" si="22"/>
        <v xml:space="preserve"> </v>
      </c>
      <c r="I272" s="51"/>
      <c r="J272" s="51"/>
      <c r="K272" s="51" t="str">
        <f t="shared" si="18"/>
        <v/>
      </c>
      <c r="L272" s="106" t="str">
        <f t="shared" si="23"/>
        <v xml:space="preserve"> </v>
      </c>
      <c r="M272" s="106" t="str">
        <f t="shared" si="19"/>
        <v xml:space="preserve"> </v>
      </c>
      <c r="N272" s="51" t="str">
        <f t="shared" si="20"/>
        <v xml:space="preserve"> </v>
      </c>
      <c r="O272" s="51"/>
      <c r="P272" s="51" t="str">
        <f t="shared" si="21"/>
        <v xml:space="preserve"> </v>
      </c>
    </row>
    <row r="273" spans="8:16" ht="15" x14ac:dyDescent="0.25">
      <c r="H273" s="50" t="str">
        <f t="shared" si="22"/>
        <v xml:space="preserve"> </v>
      </c>
      <c r="I273" s="51"/>
      <c r="J273" s="51"/>
      <c r="K273" s="51" t="str">
        <f t="shared" si="18"/>
        <v/>
      </c>
      <c r="L273" s="106" t="str">
        <f t="shared" si="23"/>
        <v xml:space="preserve"> </v>
      </c>
      <c r="M273" s="106" t="str">
        <f t="shared" si="19"/>
        <v xml:space="preserve"> </v>
      </c>
      <c r="N273" s="51" t="str">
        <f t="shared" si="20"/>
        <v xml:space="preserve"> </v>
      </c>
      <c r="O273" s="51"/>
      <c r="P273" s="51" t="str">
        <f t="shared" si="21"/>
        <v xml:space="preserve"> </v>
      </c>
    </row>
    <row r="274" spans="8:16" ht="15" x14ac:dyDescent="0.25">
      <c r="H274" s="50" t="str">
        <f t="shared" si="22"/>
        <v xml:space="preserve"> </v>
      </c>
      <c r="I274" s="51"/>
      <c r="J274" s="51"/>
      <c r="K274" s="51" t="str">
        <f t="shared" si="18"/>
        <v/>
      </c>
      <c r="L274" s="106" t="str">
        <f t="shared" si="23"/>
        <v xml:space="preserve"> </v>
      </c>
      <c r="M274" s="106" t="str">
        <f t="shared" si="19"/>
        <v xml:space="preserve"> </v>
      </c>
      <c r="N274" s="51" t="str">
        <f t="shared" si="20"/>
        <v xml:space="preserve"> </v>
      </c>
      <c r="O274" s="51"/>
      <c r="P274" s="51" t="str">
        <f t="shared" si="21"/>
        <v xml:space="preserve"> </v>
      </c>
    </row>
    <row r="275" spans="8:16" ht="15" x14ac:dyDescent="0.25">
      <c r="H275" s="50" t="str">
        <f t="shared" si="22"/>
        <v xml:space="preserve"> </v>
      </c>
      <c r="I275" s="51"/>
      <c r="J275" s="51"/>
      <c r="K275" s="51" t="str">
        <f t="shared" ref="K275:K317" si="24">IF(H274&lt;=$U$17,IF(credito="Francesa",IF(H275&lt;=$U$17,$K274,0),IF(credito="Alemana",IF(H275&lt;=$U$17,L275+M275,0))),"")</f>
        <v/>
      </c>
      <c r="L275" s="106" t="str">
        <f t="shared" si="23"/>
        <v xml:space="preserve"> </v>
      </c>
      <c r="M275" s="106" t="str">
        <f t="shared" ref="M275:M317" si="25">IF(H275&lt;=$U$17,IF(credito="Francesa",K275-L275,IF(credito="Alemana",IF(H275&lt;=$U$17,$M274,0)))," ")</f>
        <v xml:space="preserve"> </v>
      </c>
      <c r="N275" s="51" t="str">
        <f t="shared" ref="N275:N317" si="26">IF(H275&lt;=$U$17,N274-M275," ")</f>
        <v xml:space="preserve"> </v>
      </c>
      <c r="O275" s="51"/>
      <c r="P275" s="51" t="str">
        <f t="shared" ref="P275:P317" si="27">IFERROR(SUM(IF(H275&lt;=$U$17,-K275," "),J275)," ")</f>
        <v xml:space="preserve"> </v>
      </c>
    </row>
    <row r="276" spans="8:16" ht="15" x14ac:dyDescent="0.25">
      <c r="H276" s="50" t="str">
        <f t="shared" ref="H276:H317" si="28">IF($H275&gt;=$U$17," ",H275+1)</f>
        <v xml:space="preserve"> </v>
      </c>
      <c r="I276" s="51"/>
      <c r="J276" s="51"/>
      <c r="K276" s="51" t="str">
        <f t="shared" si="24"/>
        <v/>
      </c>
      <c r="L276" s="106" t="str">
        <f t="shared" ref="L276:L317" si="29">IF(H276&lt;=$U$17,N275*$D$28/$D$24," ")</f>
        <v xml:space="preserve"> </v>
      </c>
      <c r="M276" s="106" t="str">
        <f t="shared" si="25"/>
        <v xml:space="preserve"> </v>
      </c>
      <c r="N276" s="51" t="str">
        <f t="shared" si="26"/>
        <v xml:space="preserve"> </v>
      </c>
      <c r="O276" s="51"/>
      <c r="P276" s="51" t="str">
        <f t="shared" si="27"/>
        <v xml:space="preserve"> </v>
      </c>
    </row>
    <row r="277" spans="8:16" ht="15" x14ac:dyDescent="0.25">
      <c r="H277" s="50" t="str">
        <f t="shared" si="28"/>
        <v xml:space="preserve"> </v>
      </c>
      <c r="I277" s="51"/>
      <c r="J277" s="51"/>
      <c r="K277" s="51" t="str">
        <f t="shared" si="24"/>
        <v/>
      </c>
      <c r="L277" s="106" t="str">
        <f t="shared" si="29"/>
        <v xml:space="preserve"> </v>
      </c>
      <c r="M277" s="106" t="str">
        <f t="shared" si="25"/>
        <v xml:space="preserve"> </v>
      </c>
      <c r="N277" s="51" t="str">
        <f t="shared" si="26"/>
        <v xml:space="preserve"> </v>
      </c>
      <c r="O277" s="51"/>
      <c r="P277" s="51" t="str">
        <f t="shared" si="27"/>
        <v xml:space="preserve"> </v>
      </c>
    </row>
    <row r="278" spans="8:16" ht="15" x14ac:dyDescent="0.25">
      <c r="H278" s="50" t="str">
        <f t="shared" si="28"/>
        <v xml:space="preserve"> </v>
      </c>
      <c r="I278" s="51"/>
      <c r="J278" s="51"/>
      <c r="K278" s="51" t="str">
        <f t="shared" si="24"/>
        <v/>
      </c>
      <c r="L278" s="106" t="str">
        <f t="shared" si="29"/>
        <v xml:space="preserve"> </v>
      </c>
      <c r="M278" s="106" t="str">
        <f t="shared" si="25"/>
        <v xml:space="preserve"> </v>
      </c>
      <c r="N278" s="51" t="str">
        <f t="shared" si="26"/>
        <v xml:space="preserve"> </v>
      </c>
      <c r="O278" s="51"/>
      <c r="P278" s="51" t="str">
        <f t="shared" si="27"/>
        <v xml:space="preserve"> </v>
      </c>
    </row>
    <row r="279" spans="8:16" ht="15" x14ac:dyDescent="0.25">
      <c r="H279" s="50" t="str">
        <f t="shared" si="28"/>
        <v xml:space="preserve"> </v>
      </c>
      <c r="I279" s="51"/>
      <c r="J279" s="51"/>
      <c r="K279" s="51" t="str">
        <f t="shared" si="24"/>
        <v/>
      </c>
      <c r="L279" s="106" t="str">
        <f t="shared" si="29"/>
        <v xml:space="preserve"> </v>
      </c>
      <c r="M279" s="106" t="str">
        <f t="shared" si="25"/>
        <v xml:space="preserve"> </v>
      </c>
      <c r="N279" s="51" t="str">
        <f t="shared" si="26"/>
        <v xml:space="preserve"> </v>
      </c>
      <c r="O279" s="51"/>
      <c r="P279" s="51" t="str">
        <f t="shared" si="27"/>
        <v xml:space="preserve"> </v>
      </c>
    </row>
    <row r="280" spans="8:16" ht="15" x14ac:dyDescent="0.25">
      <c r="H280" s="50" t="str">
        <f t="shared" si="28"/>
        <v xml:space="preserve"> </v>
      </c>
      <c r="I280" s="51"/>
      <c r="J280" s="51"/>
      <c r="K280" s="51" t="str">
        <f t="shared" si="24"/>
        <v/>
      </c>
      <c r="L280" s="106" t="str">
        <f t="shared" si="29"/>
        <v xml:space="preserve"> </v>
      </c>
      <c r="M280" s="106" t="str">
        <f t="shared" si="25"/>
        <v xml:space="preserve"> </v>
      </c>
      <c r="N280" s="51" t="str">
        <f t="shared" si="26"/>
        <v xml:space="preserve"> </v>
      </c>
      <c r="O280" s="51"/>
      <c r="P280" s="51" t="str">
        <f t="shared" si="27"/>
        <v xml:space="preserve"> </v>
      </c>
    </row>
    <row r="281" spans="8:16" ht="15" x14ac:dyDescent="0.25">
      <c r="H281" s="50" t="str">
        <f t="shared" si="28"/>
        <v xml:space="preserve"> </v>
      </c>
      <c r="I281" s="51"/>
      <c r="J281" s="51"/>
      <c r="K281" s="51" t="str">
        <f t="shared" si="24"/>
        <v/>
      </c>
      <c r="L281" s="106" t="str">
        <f t="shared" si="29"/>
        <v xml:space="preserve"> </v>
      </c>
      <c r="M281" s="106" t="str">
        <f t="shared" si="25"/>
        <v xml:space="preserve"> </v>
      </c>
      <c r="N281" s="51" t="str">
        <f t="shared" si="26"/>
        <v xml:space="preserve"> </v>
      </c>
      <c r="O281" s="51"/>
      <c r="P281" s="51" t="str">
        <f t="shared" si="27"/>
        <v xml:space="preserve"> </v>
      </c>
    </row>
    <row r="282" spans="8:16" ht="15" x14ac:dyDescent="0.25">
      <c r="H282" s="50" t="str">
        <f t="shared" si="28"/>
        <v xml:space="preserve"> </v>
      </c>
      <c r="I282" s="51"/>
      <c r="J282" s="51"/>
      <c r="K282" s="51" t="str">
        <f t="shared" si="24"/>
        <v/>
      </c>
      <c r="L282" s="106" t="str">
        <f t="shared" si="29"/>
        <v xml:space="preserve"> </v>
      </c>
      <c r="M282" s="106" t="str">
        <f t="shared" si="25"/>
        <v xml:space="preserve"> </v>
      </c>
      <c r="N282" s="51" t="str">
        <f t="shared" si="26"/>
        <v xml:space="preserve"> </v>
      </c>
      <c r="O282" s="51"/>
      <c r="P282" s="51" t="str">
        <f t="shared" si="27"/>
        <v xml:space="preserve"> </v>
      </c>
    </row>
    <row r="283" spans="8:16" ht="15" x14ac:dyDescent="0.25">
      <c r="H283" s="50" t="str">
        <f t="shared" si="28"/>
        <v xml:space="preserve"> </v>
      </c>
      <c r="I283" s="51"/>
      <c r="J283" s="51"/>
      <c r="K283" s="51" t="str">
        <f t="shared" si="24"/>
        <v/>
      </c>
      <c r="L283" s="106" t="str">
        <f t="shared" si="29"/>
        <v xml:space="preserve"> </v>
      </c>
      <c r="M283" s="106" t="str">
        <f t="shared" si="25"/>
        <v xml:space="preserve"> </v>
      </c>
      <c r="N283" s="51" t="str">
        <f t="shared" si="26"/>
        <v xml:space="preserve"> </v>
      </c>
      <c r="O283" s="51"/>
      <c r="P283" s="51" t="str">
        <f t="shared" si="27"/>
        <v xml:space="preserve"> </v>
      </c>
    </row>
    <row r="284" spans="8:16" ht="15" x14ac:dyDescent="0.25">
      <c r="H284" s="50" t="str">
        <f t="shared" si="28"/>
        <v xml:space="preserve"> </v>
      </c>
      <c r="I284" s="51"/>
      <c r="J284" s="51"/>
      <c r="K284" s="51" t="str">
        <f t="shared" si="24"/>
        <v/>
      </c>
      <c r="L284" s="106" t="str">
        <f t="shared" si="29"/>
        <v xml:space="preserve"> </v>
      </c>
      <c r="M284" s="106" t="str">
        <f t="shared" si="25"/>
        <v xml:space="preserve"> </v>
      </c>
      <c r="N284" s="51" t="str">
        <f t="shared" si="26"/>
        <v xml:space="preserve"> </v>
      </c>
      <c r="O284" s="51"/>
      <c r="P284" s="51" t="str">
        <f t="shared" si="27"/>
        <v xml:space="preserve"> </v>
      </c>
    </row>
    <row r="285" spans="8:16" ht="15" x14ac:dyDescent="0.25">
      <c r="H285" s="50" t="str">
        <f t="shared" si="28"/>
        <v xml:space="preserve"> </v>
      </c>
      <c r="I285" s="51"/>
      <c r="J285" s="51"/>
      <c r="K285" s="51" t="str">
        <f t="shared" si="24"/>
        <v/>
      </c>
      <c r="L285" s="106" t="str">
        <f t="shared" si="29"/>
        <v xml:space="preserve"> </v>
      </c>
      <c r="M285" s="106" t="str">
        <f t="shared" si="25"/>
        <v xml:space="preserve"> </v>
      </c>
      <c r="N285" s="51" t="str">
        <f t="shared" si="26"/>
        <v xml:space="preserve"> </v>
      </c>
      <c r="O285" s="51"/>
      <c r="P285" s="51" t="str">
        <f t="shared" si="27"/>
        <v xml:space="preserve"> </v>
      </c>
    </row>
    <row r="286" spans="8:16" ht="15" x14ac:dyDescent="0.25">
      <c r="H286" s="50" t="str">
        <f t="shared" si="28"/>
        <v xml:space="preserve"> </v>
      </c>
      <c r="I286" s="51"/>
      <c r="J286" s="51"/>
      <c r="K286" s="51" t="str">
        <f t="shared" si="24"/>
        <v/>
      </c>
      <c r="L286" s="106" t="str">
        <f t="shared" si="29"/>
        <v xml:space="preserve"> </v>
      </c>
      <c r="M286" s="106" t="str">
        <f t="shared" si="25"/>
        <v xml:space="preserve"> </v>
      </c>
      <c r="N286" s="51" t="str">
        <f t="shared" si="26"/>
        <v xml:space="preserve"> </v>
      </c>
      <c r="O286" s="51"/>
      <c r="P286" s="51" t="str">
        <f t="shared" si="27"/>
        <v xml:space="preserve"> </v>
      </c>
    </row>
    <row r="287" spans="8:16" ht="15" x14ac:dyDescent="0.25">
      <c r="H287" s="50" t="str">
        <f t="shared" si="28"/>
        <v xml:space="preserve"> </v>
      </c>
      <c r="I287" s="51"/>
      <c r="J287" s="51"/>
      <c r="K287" s="51" t="str">
        <f t="shared" si="24"/>
        <v/>
      </c>
      <c r="L287" s="106" t="str">
        <f t="shared" si="29"/>
        <v xml:space="preserve"> </v>
      </c>
      <c r="M287" s="106" t="str">
        <f t="shared" si="25"/>
        <v xml:space="preserve"> </v>
      </c>
      <c r="N287" s="51" t="str">
        <f t="shared" si="26"/>
        <v xml:space="preserve"> </v>
      </c>
      <c r="O287" s="51"/>
      <c r="P287" s="51" t="str">
        <f t="shared" si="27"/>
        <v xml:space="preserve"> </v>
      </c>
    </row>
    <row r="288" spans="8:16" ht="15" x14ac:dyDescent="0.25">
      <c r="H288" s="50" t="str">
        <f t="shared" si="28"/>
        <v xml:space="preserve"> </v>
      </c>
      <c r="I288" s="51"/>
      <c r="J288" s="51"/>
      <c r="K288" s="51" t="str">
        <f t="shared" si="24"/>
        <v/>
      </c>
      <c r="L288" s="106" t="str">
        <f t="shared" si="29"/>
        <v xml:space="preserve"> </v>
      </c>
      <c r="M288" s="106" t="str">
        <f t="shared" si="25"/>
        <v xml:space="preserve"> </v>
      </c>
      <c r="N288" s="51" t="str">
        <f t="shared" si="26"/>
        <v xml:space="preserve"> </v>
      </c>
      <c r="O288" s="51"/>
      <c r="P288" s="51" t="str">
        <f t="shared" si="27"/>
        <v xml:space="preserve"> </v>
      </c>
    </row>
    <row r="289" spans="8:16" ht="15" x14ac:dyDescent="0.25">
      <c r="H289" s="50" t="str">
        <f t="shared" si="28"/>
        <v xml:space="preserve"> </v>
      </c>
      <c r="I289" s="51"/>
      <c r="J289" s="51"/>
      <c r="K289" s="51" t="str">
        <f t="shared" si="24"/>
        <v/>
      </c>
      <c r="L289" s="106" t="str">
        <f t="shared" si="29"/>
        <v xml:space="preserve"> </v>
      </c>
      <c r="M289" s="106" t="str">
        <f t="shared" si="25"/>
        <v xml:space="preserve"> </v>
      </c>
      <c r="N289" s="51" t="str">
        <f t="shared" si="26"/>
        <v xml:space="preserve"> </v>
      </c>
      <c r="O289" s="51"/>
      <c r="P289" s="51" t="str">
        <f t="shared" si="27"/>
        <v xml:space="preserve"> </v>
      </c>
    </row>
    <row r="290" spans="8:16" ht="15" x14ac:dyDescent="0.25">
      <c r="H290" s="50" t="str">
        <f t="shared" si="28"/>
        <v xml:space="preserve"> </v>
      </c>
      <c r="I290" s="51"/>
      <c r="J290" s="51"/>
      <c r="K290" s="51" t="str">
        <f t="shared" si="24"/>
        <v/>
      </c>
      <c r="L290" s="106" t="str">
        <f t="shared" si="29"/>
        <v xml:space="preserve"> </v>
      </c>
      <c r="M290" s="106" t="str">
        <f t="shared" si="25"/>
        <v xml:space="preserve"> </v>
      </c>
      <c r="N290" s="51" t="str">
        <f t="shared" si="26"/>
        <v xml:space="preserve"> </v>
      </c>
      <c r="O290" s="51"/>
      <c r="P290" s="51" t="str">
        <f t="shared" si="27"/>
        <v xml:space="preserve"> </v>
      </c>
    </row>
    <row r="291" spans="8:16" ht="15" x14ac:dyDescent="0.25">
      <c r="H291" s="50" t="str">
        <f t="shared" si="28"/>
        <v xml:space="preserve"> </v>
      </c>
      <c r="I291" s="51"/>
      <c r="J291" s="51"/>
      <c r="K291" s="51" t="str">
        <f t="shared" si="24"/>
        <v/>
      </c>
      <c r="L291" s="106" t="str">
        <f t="shared" si="29"/>
        <v xml:space="preserve"> </v>
      </c>
      <c r="M291" s="106" t="str">
        <f t="shared" si="25"/>
        <v xml:space="preserve"> </v>
      </c>
      <c r="N291" s="51" t="str">
        <f t="shared" si="26"/>
        <v xml:space="preserve"> </v>
      </c>
      <c r="O291" s="51"/>
      <c r="P291" s="51" t="str">
        <f t="shared" si="27"/>
        <v xml:space="preserve"> </v>
      </c>
    </row>
    <row r="292" spans="8:16" ht="15" x14ac:dyDescent="0.25">
      <c r="H292" s="50" t="str">
        <f t="shared" si="28"/>
        <v xml:space="preserve"> </v>
      </c>
      <c r="I292" s="51"/>
      <c r="J292" s="51"/>
      <c r="K292" s="51" t="str">
        <f t="shared" si="24"/>
        <v/>
      </c>
      <c r="L292" s="106" t="str">
        <f t="shared" si="29"/>
        <v xml:space="preserve"> </v>
      </c>
      <c r="M292" s="106" t="str">
        <f t="shared" si="25"/>
        <v xml:space="preserve"> </v>
      </c>
      <c r="N292" s="51" t="str">
        <f t="shared" si="26"/>
        <v xml:space="preserve"> </v>
      </c>
      <c r="O292" s="51"/>
      <c r="P292" s="51" t="str">
        <f t="shared" si="27"/>
        <v xml:space="preserve"> </v>
      </c>
    </row>
    <row r="293" spans="8:16" ht="15" x14ac:dyDescent="0.25">
      <c r="H293" s="50" t="str">
        <f t="shared" si="28"/>
        <v xml:space="preserve"> </v>
      </c>
      <c r="I293" s="51"/>
      <c r="J293" s="51"/>
      <c r="K293" s="51" t="str">
        <f t="shared" si="24"/>
        <v/>
      </c>
      <c r="L293" s="106" t="str">
        <f t="shared" si="29"/>
        <v xml:space="preserve"> </v>
      </c>
      <c r="M293" s="106" t="str">
        <f t="shared" si="25"/>
        <v xml:space="preserve"> </v>
      </c>
      <c r="N293" s="51" t="str">
        <f t="shared" si="26"/>
        <v xml:space="preserve"> </v>
      </c>
      <c r="O293" s="51"/>
      <c r="P293" s="51" t="str">
        <f t="shared" si="27"/>
        <v xml:space="preserve"> </v>
      </c>
    </row>
    <row r="294" spans="8:16" ht="15" x14ac:dyDescent="0.25">
      <c r="H294" s="50" t="str">
        <f t="shared" si="28"/>
        <v xml:space="preserve"> </v>
      </c>
      <c r="I294" s="51"/>
      <c r="J294" s="51"/>
      <c r="K294" s="51" t="str">
        <f t="shared" si="24"/>
        <v/>
      </c>
      <c r="L294" s="106" t="str">
        <f t="shared" si="29"/>
        <v xml:space="preserve"> </v>
      </c>
      <c r="M294" s="106" t="str">
        <f t="shared" si="25"/>
        <v xml:space="preserve"> </v>
      </c>
      <c r="N294" s="51" t="str">
        <f t="shared" si="26"/>
        <v xml:space="preserve"> </v>
      </c>
      <c r="O294" s="51"/>
      <c r="P294" s="51" t="str">
        <f t="shared" si="27"/>
        <v xml:space="preserve"> </v>
      </c>
    </row>
    <row r="295" spans="8:16" ht="15" x14ac:dyDescent="0.25">
      <c r="H295" s="50" t="str">
        <f t="shared" si="28"/>
        <v xml:space="preserve"> </v>
      </c>
      <c r="I295" s="51"/>
      <c r="J295" s="51"/>
      <c r="K295" s="51" t="str">
        <f t="shared" si="24"/>
        <v/>
      </c>
      <c r="L295" s="106" t="str">
        <f t="shared" si="29"/>
        <v xml:space="preserve"> </v>
      </c>
      <c r="M295" s="106" t="str">
        <f t="shared" si="25"/>
        <v xml:space="preserve"> </v>
      </c>
      <c r="N295" s="51" t="str">
        <f t="shared" si="26"/>
        <v xml:space="preserve"> </v>
      </c>
      <c r="O295" s="51"/>
      <c r="P295" s="51" t="str">
        <f t="shared" si="27"/>
        <v xml:space="preserve"> </v>
      </c>
    </row>
    <row r="296" spans="8:16" ht="15" x14ac:dyDescent="0.25">
      <c r="H296" s="50" t="str">
        <f t="shared" si="28"/>
        <v xml:space="preserve"> </v>
      </c>
      <c r="I296" s="51"/>
      <c r="J296" s="51"/>
      <c r="K296" s="51" t="str">
        <f t="shared" si="24"/>
        <v/>
      </c>
      <c r="L296" s="106" t="str">
        <f t="shared" si="29"/>
        <v xml:space="preserve"> </v>
      </c>
      <c r="M296" s="106" t="str">
        <f t="shared" si="25"/>
        <v xml:space="preserve"> </v>
      </c>
      <c r="N296" s="51" t="str">
        <f t="shared" si="26"/>
        <v xml:space="preserve"> </v>
      </c>
      <c r="O296" s="51"/>
      <c r="P296" s="51" t="str">
        <f t="shared" si="27"/>
        <v xml:space="preserve"> </v>
      </c>
    </row>
    <row r="297" spans="8:16" ht="15" x14ac:dyDescent="0.25">
      <c r="H297" s="50" t="str">
        <f t="shared" si="28"/>
        <v xml:space="preserve"> </v>
      </c>
      <c r="I297" s="51"/>
      <c r="J297" s="51"/>
      <c r="K297" s="51" t="str">
        <f t="shared" si="24"/>
        <v/>
      </c>
      <c r="L297" s="106" t="str">
        <f t="shared" si="29"/>
        <v xml:space="preserve"> </v>
      </c>
      <c r="M297" s="106" t="str">
        <f t="shared" si="25"/>
        <v xml:space="preserve"> </v>
      </c>
      <c r="N297" s="51" t="str">
        <f t="shared" si="26"/>
        <v xml:space="preserve"> </v>
      </c>
      <c r="O297" s="51"/>
      <c r="P297" s="51" t="str">
        <f t="shared" si="27"/>
        <v xml:space="preserve"> </v>
      </c>
    </row>
    <row r="298" spans="8:16" ht="15" x14ac:dyDescent="0.25">
      <c r="H298" s="50" t="str">
        <f t="shared" si="28"/>
        <v xml:space="preserve"> </v>
      </c>
      <c r="I298" s="51"/>
      <c r="J298" s="51"/>
      <c r="K298" s="51" t="str">
        <f t="shared" si="24"/>
        <v/>
      </c>
      <c r="L298" s="106" t="str">
        <f t="shared" si="29"/>
        <v xml:space="preserve"> </v>
      </c>
      <c r="M298" s="106" t="str">
        <f t="shared" si="25"/>
        <v xml:space="preserve"> </v>
      </c>
      <c r="N298" s="51" t="str">
        <f t="shared" si="26"/>
        <v xml:space="preserve"> </v>
      </c>
      <c r="O298" s="51"/>
      <c r="P298" s="51" t="str">
        <f t="shared" si="27"/>
        <v xml:space="preserve"> </v>
      </c>
    </row>
    <row r="299" spans="8:16" ht="15" x14ac:dyDescent="0.25">
      <c r="H299" s="50" t="str">
        <f t="shared" si="28"/>
        <v xml:space="preserve"> </v>
      </c>
      <c r="I299" s="51"/>
      <c r="J299" s="51"/>
      <c r="K299" s="51" t="str">
        <f t="shared" si="24"/>
        <v/>
      </c>
      <c r="L299" s="106" t="str">
        <f t="shared" si="29"/>
        <v xml:space="preserve"> </v>
      </c>
      <c r="M299" s="106" t="str">
        <f t="shared" si="25"/>
        <v xml:space="preserve"> </v>
      </c>
      <c r="N299" s="51" t="str">
        <f t="shared" si="26"/>
        <v xml:space="preserve"> </v>
      </c>
      <c r="O299" s="51"/>
      <c r="P299" s="51" t="str">
        <f t="shared" si="27"/>
        <v xml:space="preserve"> </v>
      </c>
    </row>
    <row r="300" spans="8:16" ht="15" x14ac:dyDescent="0.25">
      <c r="H300" s="50" t="str">
        <f t="shared" si="28"/>
        <v xml:space="preserve"> </v>
      </c>
      <c r="I300" s="51"/>
      <c r="J300" s="51"/>
      <c r="K300" s="51" t="str">
        <f t="shared" si="24"/>
        <v/>
      </c>
      <c r="L300" s="106" t="str">
        <f t="shared" si="29"/>
        <v xml:space="preserve"> </v>
      </c>
      <c r="M300" s="106" t="str">
        <f t="shared" si="25"/>
        <v xml:space="preserve"> </v>
      </c>
      <c r="N300" s="51" t="str">
        <f t="shared" si="26"/>
        <v xml:space="preserve"> </v>
      </c>
      <c r="O300" s="51"/>
      <c r="P300" s="51" t="str">
        <f t="shared" si="27"/>
        <v xml:space="preserve"> </v>
      </c>
    </row>
    <row r="301" spans="8:16" ht="15" x14ac:dyDescent="0.25">
      <c r="H301" s="50" t="str">
        <f t="shared" si="28"/>
        <v xml:space="preserve"> </v>
      </c>
      <c r="I301" s="51"/>
      <c r="J301" s="51"/>
      <c r="K301" s="51" t="str">
        <f t="shared" si="24"/>
        <v/>
      </c>
      <c r="L301" s="106" t="str">
        <f t="shared" si="29"/>
        <v xml:space="preserve"> </v>
      </c>
      <c r="M301" s="106" t="str">
        <f t="shared" si="25"/>
        <v xml:space="preserve"> </v>
      </c>
      <c r="N301" s="51" t="str">
        <f t="shared" si="26"/>
        <v xml:space="preserve"> </v>
      </c>
      <c r="O301" s="51"/>
      <c r="P301" s="51" t="str">
        <f t="shared" si="27"/>
        <v xml:space="preserve"> </v>
      </c>
    </row>
    <row r="302" spans="8:16" ht="15" x14ac:dyDescent="0.25">
      <c r="H302" s="50" t="str">
        <f t="shared" si="28"/>
        <v xml:space="preserve"> </v>
      </c>
      <c r="I302" s="51"/>
      <c r="J302" s="51"/>
      <c r="K302" s="51" t="str">
        <f t="shared" si="24"/>
        <v/>
      </c>
      <c r="L302" s="106" t="str">
        <f t="shared" si="29"/>
        <v xml:space="preserve"> </v>
      </c>
      <c r="M302" s="106" t="str">
        <f t="shared" si="25"/>
        <v xml:space="preserve"> </v>
      </c>
      <c r="N302" s="51" t="str">
        <f t="shared" si="26"/>
        <v xml:space="preserve"> </v>
      </c>
      <c r="O302" s="51"/>
      <c r="P302" s="51" t="str">
        <f t="shared" si="27"/>
        <v xml:space="preserve"> </v>
      </c>
    </row>
    <row r="303" spans="8:16" ht="15" x14ac:dyDescent="0.25">
      <c r="H303" s="50" t="str">
        <f t="shared" si="28"/>
        <v xml:space="preserve"> </v>
      </c>
      <c r="I303" s="51"/>
      <c r="J303" s="51"/>
      <c r="K303" s="51" t="str">
        <f t="shared" si="24"/>
        <v/>
      </c>
      <c r="L303" s="106" t="str">
        <f t="shared" si="29"/>
        <v xml:space="preserve"> </v>
      </c>
      <c r="M303" s="106" t="str">
        <f t="shared" si="25"/>
        <v xml:space="preserve"> </v>
      </c>
      <c r="N303" s="51" t="str">
        <f t="shared" si="26"/>
        <v xml:space="preserve"> </v>
      </c>
      <c r="O303" s="51"/>
      <c r="P303" s="51" t="str">
        <f t="shared" si="27"/>
        <v xml:space="preserve"> </v>
      </c>
    </row>
    <row r="304" spans="8:16" ht="15" x14ac:dyDescent="0.25">
      <c r="H304" s="50" t="str">
        <f t="shared" si="28"/>
        <v xml:space="preserve"> </v>
      </c>
      <c r="I304" s="51"/>
      <c r="J304" s="51"/>
      <c r="K304" s="51" t="str">
        <f t="shared" si="24"/>
        <v/>
      </c>
      <c r="L304" s="106" t="str">
        <f t="shared" si="29"/>
        <v xml:space="preserve"> </v>
      </c>
      <c r="M304" s="106" t="str">
        <f t="shared" si="25"/>
        <v xml:space="preserve"> </v>
      </c>
      <c r="N304" s="51" t="str">
        <f t="shared" si="26"/>
        <v xml:space="preserve"> </v>
      </c>
      <c r="O304" s="51"/>
      <c r="P304" s="51" t="str">
        <f t="shared" si="27"/>
        <v xml:space="preserve"> </v>
      </c>
    </row>
    <row r="305" spans="8:16" ht="15" x14ac:dyDescent="0.25">
      <c r="H305" s="50" t="str">
        <f t="shared" si="28"/>
        <v xml:space="preserve"> </v>
      </c>
      <c r="I305" s="51"/>
      <c r="J305" s="51"/>
      <c r="K305" s="51" t="str">
        <f t="shared" si="24"/>
        <v/>
      </c>
      <c r="L305" s="106" t="str">
        <f t="shared" si="29"/>
        <v xml:space="preserve"> </v>
      </c>
      <c r="M305" s="106" t="str">
        <f t="shared" si="25"/>
        <v xml:space="preserve"> </v>
      </c>
      <c r="N305" s="51" t="str">
        <f t="shared" si="26"/>
        <v xml:space="preserve"> </v>
      </c>
      <c r="O305" s="51"/>
      <c r="P305" s="51" t="str">
        <f t="shared" si="27"/>
        <v xml:space="preserve"> </v>
      </c>
    </row>
    <row r="306" spans="8:16" ht="15" x14ac:dyDescent="0.25">
      <c r="H306" s="50" t="str">
        <f t="shared" si="28"/>
        <v xml:space="preserve"> </v>
      </c>
      <c r="I306" s="51"/>
      <c r="J306" s="51"/>
      <c r="K306" s="51" t="str">
        <f t="shared" si="24"/>
        <v/>
      </c>
      <c r="L306" s="106" t="str">
        <f t="shared" si="29"/>
        <v xml:space="preserve"> </v>
      </c>
      <c r="M306" s="106" t="str">
        <f t="shared" si="25"/>
        <v xml:space="preserve"> </v>
      </c>
      <c r="N306" s="51" t="str">
        <f t="shared" si="26"/>
        <v xml:space="preserve"> </v>
      </c>
      <c r="O306" s="51"/>
      <c r="P306" s="51" t="str">
        <f t="shared" si="27"/>
        <v xml:space="preserve"> </v>
      </c>
    </row>
    <row r="307" spans="8:16" ht="15" x14ac:dyDescent="0.25">
      <c r="H307" s="50" t="str">
        <f t="shared" si="28"/>
        <v xml:space="preserve"> </v>
      </c>
      <c r="I307" s="51"/>
      <c r="J307" s="51"/>
      <c r="K307" s="51" t="str">
        <f t="shared" si="24"/>
        <v/>
      </c>
      <c r="L307" s="106" t="str">
        <f t="shared" si="29"/>
        <v xml:space="preserve"> </v>
      </c>
      <c r="M307" s="106" t="str">
        <f t="shared" si="25"/>
        <v xml:space="preserve"> </v>
      </c>
      <c r="N307" s="51" t="str">
        <f t="shared" si="26"/>
        <v xml:space="preserve"> </v>
      </c>
      <c r="O307" s="51"/>
      <c r="P307" s="51" t="str">
        <f t="shared" si="27"/>
        <v xml:space="preserve"> </v>
      </c>
    </row>
    <row r="308" spans="8:16" ht="15" x14ac:dyDescent="0.25">
      <c r="H308" s="50" t="str">
        <f t="shared" si="28"/>
        <v xml:space="preserve"> </v>
      </c>
      <c r="I308" s="51"/>
      <c r="J308" s="51"/>
      <c r="K308" s="51" t="str">
        <f t="shared" si="24"/>
        <v/>
      </c>
      <c r="L308" s="106" t="str">
        <f t="shared" si="29"/>
        <v xml:space="preserve"> </v>
      </c>
      <c r="M308" s="106" t="str">
        <f t="shared" si="25"/>
        <v xml:space="preserve"> </v>
      </c>
      <c r="N308" s="51" t="str">
        <f t="shared" si="26"/>
        <v xml:space="preserve"> </v>
      </c>
      <c r="O308" s="51"/>
      <c r="P308" s="51" t="str">
        <f t="shared" si="27"/>
        <v xml:space="preserve"> </v>
      </c>
    </row>
    <row r="309" spans="8:16" ht="15" x14ac:dyDescent="0.25">
      <c r="H309" s="50" t="str">
        <f t="shared" si="28"/>
        <v xml:space="preserve"> </v>
      </c>
      <c r="I309" s="51"/>
      <c r="J309" s="51"/>
      <c r="K309" s="51" t="str">
        <f t="shared" si="24"/>
        <v/>
      </c>
      <c r="L309" s="106" t="str">
        <f t="shared" si="29"/>
        <v xml:space="preserve"> </v>
      </c>
      <c r="M309" s="106" t="str">
        <f t="shared" si="25"/>
        <v xml:space="preserve"> </v>
      </c>
      <c r="N309" s="51" t="str">
        <f t="shared" si="26"/>
        <v xml:space="preserve"> </v>
      </c>
      <c r="O309" s="51"/>
      <c r="P309" s="51" t="str">
        <f t="shared" si="27"/>
        <v xml:space="preserve"> </v>
      </c>
    </row>
    <row r="310" spans="8:16" ht="15" x14ac:dyDescent="0.25">
      <c r="H310" s="50" t="str">
        <f t="shared" si="28"/>
        <v xml:space="preserve"> </v>
      </c>
      <c r="I310" s="51"/>
      <c r="J310" s="51"/>
      <c r="K310" s="51" t="str">
        <f t="shared" si="24"/>
        <v/>
      </c>
      <c r="L310" s="106" t="str">
        <f t="shared" si="29"/>
        <v xml:space="preserve"> </v>
      </c>
      <c r="M310" s="106" t="str">
        <f t="shared" si="25"/>
        <v xml:space="preserve"> </v>
      </c>
      <c r="N310" s="51" t="str">
        <f t="shared" si="26"/>
        <v xml:space="preserve"> </v>
      </c>
      <c r="O310" s="51"/>
      <c r="P310" s="51" t="str">
        <f t="shared" si="27"/>
        <v xml:space="preserve"> </v>
      </c>
    </row>
    <row r="311" spans="8:16" ht="15" x14ac:dyDescent="0.25">
      <c r="H311" s="50" t="str">
        <f t="shared" si="28"/>
        <v xml:space="preserve"> </v>
      </c>
      <c r="I311" s="51"/>
      <c r="J311" s="51"/>
      <c r="K311" s="51" t="str">
        <f t="shared" si="24"/>
        <v/>
      </c>
      <c r="L311" s="106" t="str">
        <f t="shared" si="29"/>
        <v xml:space="preserve"> </v>
      </c>
      <c r="M311" s="106" t="str">
        <f t="shared" si="25"/>
        <v xml:space="preserve"> </v>
      </c>
      <c r="N311" s="51" t="str">
        <f t="shared" si="26"/>
        <v xml:space="preserve"> </v>
      </c>
      <c r="O311" s="51"/>
      <c r="P311" s="51" t="str">
        <f t="shared" si="27"/>
        <v xml:space="preserve"> </v>
      </c>
    </row>
    <row r="312" spans="8:16" ht="15" x14ac:dyDescent="0.25">
      <c r="H312" s="50" t="str">
        <f t="shared" si="28"/>
        <v xml:space="preserve"> </v>
      </c>
      <c r="I312" s="51"/>
      <c r="J312" s="51"/>
      <c r="K312" s="51" t="str">
        <f t="shared" si="24"/>
        <v/>
      </c>
      <c r="L312" s="106" t="str">
        <f t="shared" si="29"/>
        <v xml:space="preserve"> </v>
      </c>
      <c r="M312" s="106" t="str">
        <f t="shared" si="25"/>
        <v xml:space="preserve"> </v>
      </c>
      <c r="N312" s="51" t="str">
        <f t="shared" si="26"/>
        <v xml:space="preserve"> </v>
      </c>
      <c r="O312" s="51"/>
      <c r="P312" s="51" t="str">
        <f t="shared" si="27"/>
        <v xml:space="preserve"> </v>
      </c>
    </row>
    <row r="313" spans="8:16" ht="15" x14ac:dyDescent="0.25">
      <c r="H313" s="50" t="str">
        <f t="shared" si="28"/>
        <v xml:space="preserve"> </v>
      </c>
      <c r="I313" s="51"/>
      <c r="J313" s="51"/>
      <c r="K313" s="51" t="str">
        <f t="shared" si="24"/>
        <v/>
      </c>
      <c r="L313" s="106" t="str">
        <f t="shared" si="29"/>
        <v xml:space="preserve"> </v>
      </c>
      <c r="M313" s="106" t="str">
        <f t="shared" si="25"/>
        <v xml:space="preserve"> </v>
      </c>
      <c r="N313" s="51" t="str">
        <f t="shared" si="26"/>
        <v xml:space="preserve"> </v>
      </c>
      <c r="O313" s="51"/>
      <c r="P313" s="51" t="str">
        <f t="shared" si="27"/>
        <v xml:space="preserve"> </v>
      </c>
    </row>
    <row r="314" spans="8:16" ht="15" x14ac:dyDescent="0.25">
      <c r="H314" s="50" t="str">
        <f t="shared" si="28"/>
        <v xml:space="preserve"> </v>
      </c>
      <c r="I314" s="51"/>
      <c r="J314" s="51"/>
      <c r="K314" s="51" t="str">
        <f t="shared" si="24"/>
        <v/>
      </c>
      <c r="L314" s="106" t="str">
        <f t="shared" si="29"/>
        <v xml:space="preserve"> </v>
      </c>
      <c r="M314" s="106" t="str">
        <f t="shared" si="25"/>
        <v xml:space="preserve"> </v>
      </c>
      <c r="N314" s="51" t="str">
        <f t="shared" si="26"/>
        <v xml:space="preserve"> </v>
      </c>
      <c r="O314" s="51"/>
      <c r="P314" s="51" t="str">
        <f t="shared" si="27"/>
        <v xml:space="preserve"> </v>
      </c>
    </row>
    <row r="315" spans="8:16" ht="15" x14ac:dyDescent="0.25">
      <c r="H315" s="50" t="str">
        <f t="shared" si="28"/>
        <v xml:space="preserve"> </v>
      </c>
      <c r="I315" s="51"/>
      <c r="J315" s="51"/>
      <c r="K315" s="51" t="str">
        <f t="shared" si="24"/>
        <v/>
      </c>
      <c r="L315" s="106" t="str">
        <f t="shared" si="29"/>
        <v xml:space="preserve"> </v>
      </c>
      <c r="M315" s="106" t="str">
        <f t="shared" si="25"/>
        <v xml:space="preserve"> </v>
      </c>
      <c r="N315" s="51" t="str">
        <f t="shared" si="26"/>
        <v xml:space="preserve"> </v>
      </c>
      <c r="O315" s="51"/>
      <c r="P315" s="51" t="str">
        <f t="shared" si="27"/>
        <v xml:space="preserve"> </v>
      </c>
    </row>
    <row r="316" spans="8:16" ht="15" x14ac:dyDescent="0.25">
      <c r="H316" s="50" t="str">
        <f t="shared" si="28"/>
        <v xml:space="preserve"> </v>
      </c>
      <c r="I316" s="51"/>
      <c r="J316" s="51"/>
      <c r="K316" s="51" t="str">
        <f t="shared" si="24"/>
        <v/>
      </c>
      <c r="L316" s="106" t="str">
        <f t="shared" si="29"/>
        <v xml:space="preserve"> </v>
      </c>
      <c r="M316" s="106" t="str">
        <f t="shared" si="25"/>
        <v xml:space="preserve"> </v>
      </c>
      <c r="N316" s="51" t="str">
        <f t="shared" si="26"/>
        <v xml:space="preserve"> </v>
      </c>
      <c r="O316" s="51"/>
      <c r="P316" s="51" t="str">
        <f t="shared" si="27"/>
        <v xml:space="preserve"> </v>
      </c>
    </row>
    <row r="317" spans="8:16" ht="15" x14ac:dyDescent="0.25">
      <c r="H317" s="50" t="str">
        <f t="shared" si="28"/>
        <v xml:space="preserve"> </v>
      </c>
      <c r="I317" s="51"/>
      <c r="J317" s="51"/>
      <c r="K317" s="51" t="str">
        <f t="shared" si="24"/>
        <v/>
      </c>
      <c r="L317" s="106" t="str">
        <f t="shared" si="29"/>
        <v xml:space="preserve"> </v>
      </c>
      <c r="M317" s="106" t="str">
        <f t="shared" si="25"/>
        <v xml:space="preserve"> </v>
      </c>
      <c r="N317" s="51" t="str">
        <f t="shared" si="26"/>
        <v xml:space="preserve"> </v>
      </c>
      <c r="O317" s="51"/>
      <c r="P317" s="51" t="str">
        <f t="shared" si="27"/>
        <v xml:space="preserve"> </v>
      </c>
    </row>
    <row r="318" spans="8:16" ht="15" x14ac:dyDescent="0.25">
      <c r="H318" s="50"/>
      <c r="I318" s="50"/>
      <c r="J318" s="50"/>
      <c r="K318" s="51"/>
      <c r="L318" s="51"/>
      <c r="M318" s="51"/>
      <c r="N318" s="51"/>
      <c r="O318" s="51"/>
      <c r="P318" s="51"/>
    </row>
    <row r="319" spans="8:16" ht="15" x14ac:dyDescent="0.25">
      <c r="H319" s="50"/>
      <c r="I319" s="50"/>
      <c r="J319" s="50"/>
      <c r="K319" s="51"/>
      <c r="L319" s="51"/>
      <c r="M319" s="51"/>
      <c r="N319" s="51"/>
      <c r="O319" s="51"/>
      <c r="P319" s="51"/>
    </row>
    <row r="320" spans="8:16" ht="15" x14ac:dyDescent="0.25">
      <c r="H320" s="50"/>
      <c r="I320" s="50"/>
      <c r="J320" s="50"/>
      <c r="K320" s="51"/>
      <c r="L320" s="51"/>
      <c r="M320" s="51"/>
      <c r="N320" s="51"/>
      <c r="O320" s="51"/>
      <c r="P320" s="51"/>
    </row>
    <row r="321" spans="8:16" ht="15" x14ac:dyDescent="0.25">
      <c r="H321" s="50"/>
      <c r="I321" s="50"/>
      <c r="J321" s="50"/>
      <c r="K321" s="51"/>
      <c r="L321" s="51"/>
      <c r="M321" s="51"/>
      <c r="N321" s="51"/>
      <c r="O321" s="51"/>
      <c r="P321" s="51"/>
    </row>
    <row r="322" spans="8:16" ht="15" x14ac:dyDescent="0.25">
      <c r="H322" s="50"/>
      <c r="I322" s="50"/>
      <c r="J322" s="50"/>
      <c r="K322" s="51"/>
      <c r="L322" s="51"/>
      <c r="M322" s="51"/>
      <c r="N322" s="51"/>
      <c r="O322" s="51"/>
      <c r="P322" s="51"/>
    </row>
    <row r="323" spans="8:16" ht="15" x14ac:dyDescent="0.25">
      <c r="H323" s="50"/>
      <c r="I323" s="50"/>
      <c r="J323" s="50"/>
      <c r="K323" s="51"/>
      <c r="L323" s="51"/>
      <c r="M323" s="51"/>
      <c r="N323" s="51"/>
      <c r="O323" s="51"/>
      <c r="P323" s="51"/>
    </row>
    <row r="324" spans="8:16" ht="15" x14ac:dyDescent="0.25">
      <c r="H324" s="50"/>
      <c r="I324" s="50"/>
      <c r="J324" s="50"/>
      <c r="K324" s="51"/>
      <c r="L324" s="51"/>
      <c r="M324" s="51"/>
      <c r="N324" s="51"/>
      <c r="O324" s="51"/>
      <c r="P324" s="51"/>
    </row>
    <row r="325" spans="8:16" ht="15" x14ac:dyDescent="0.25">
      <c r="H325" s="50"/>
      <c r="I325" s="50"/>
      <c r="J325" s="50"/>
      <c r="K325" s="51"/>
      <c r="L325" s="51"/>
      <c r="M325" s="51"/>
      <c r="N325" s="51"/>
      <c r="O325" s="51"/>
      <c r="P325" s="51"/>
    </row>
    <row r="326" spans="8:16" ht="15" x14ac:dyDescent="0.25">
      <c r="H326" s="50"/>
      <c r="I326" s="50"/>
      <c r="J326" s="50"/>
      <c r="K326" s="51"/>
      <c r="L326" s="51"/>
      <c r="M326" s="51"/>
      <c r="N326" s="51"/>
      <c r="O326" s="51"/>
      <c r="P326" s="51"/>
    </row>
    <row r="327" spans="8:16" ht="15" x14ac:dyDescent="0.25">
      <c r="H327" s="50"/>
      <c r="I327" s="50"/>
      <c r="J327" s="50"/>
      <c r="K327" s="51"/>
      <c r="L327" s="51"/>
      <c r="M327" s="51"/>
      <c r="N327" s="51"/>
      <c r="O327" s="51"/>
      <c r="P327" s="51"/>
    </row>
    <row r="328" spans="8:16" ht="15" x14ac:dyDescent="0.25">
      <c r="H328" s="50"/>
      <c r="I328" s="50"/>
      <c r="J328" s="50"/>
      <c r="K328" s="51"/>
      <c r="L328" s="51"/>
      <c r="M328" s="51"/>
      <c r="N328" s="51"/>
      <c r="O328" s="51"/>
      <c r="P328" s="51"/>
    </row>
    <row r="329" spans="8:16" ht="15" x14ac:dyDescent="0.25">
      <c r="H329" s="50"/>
      <c r="I329" s="50"/>
      <c r="J329" s="50"/>
      <c r="K329" s="51"/>
      <c r="L329" s="51"/>
      <c r="M329" s="51"/>
      <c r="N329" s="51"/>
      <c r="O329" s="51"/>
      <c r="P329" s="51"/>
    </row>
    <row r="330" spans="8:16" ht="15" x14ac:dyDescent="0.25">
      <c r="H330" s="50"/>
      <c r="I330" s="50"/>
      <c r="J330" s="50"/>
      <c r="K330" s="51"/>
      <c r="L330" s="51"/>
      <c r="M330" s="51"/>
      <c r="N330" s="51"/>
      <c r="O330" s="51"/>
      <c r="P330" s="51"/>
    </row>
    <row r="331" spans="8:16" ht="15" x14ac:dyDescent="0.25">
      <c r="H331" s="50"/>
      <c r="I331" s="50"/>
      <c r="J331" s="50"/>
      <c r="K331" s="51"/>
      <c r="L331" s="51"/>
      <c r="M331" s="51"/>
      <c r="N331" s="51"/>
      <c r="O331" s="51"/>
      <c r="P331" s="51"/>
    </row>
    <row r="332" spans="8:16" ht="15" x14ac:dyDescent="0.25">
      <c r="H332" s="50"/>
      <c r="I332" s="50"/>
      <c r="J332" s="50"/>
      <c r="K332" s="51"/>
      <c r="L332" s="51"/>
      <c r="M332" s="51"/>
      <c r="N332" s="51"/>
      <c r="O332" s="51"/>
      <c r="P332" s="51"/>
    </row>
    <row r="333" spans="8:16" ht="15" x14ac:dyDescent="0.25">
      <c r="H333" s="50"/>
      <c r="I333" s="50"/>
      <c r="J333" s="50"/>
      <c r="K333" s="51"/>
      <c r="L333" s="51"/>
      <c r="M333" s="51"/>
      <c r="N333" s="51"/>
      <c r="O333" s="51"/>
      <c r="P333" s="51"/>
    </row>
    <row r="334" spans="8:16" ht="15" x14ac:dyDescent="0.25">
      <c r="H334" s="50"/>
      <c r="I334" s="50"/>
      <c r="J334" s="50"/>
      <c r="K334" s="51"/>
      <c r="L334" s="51"/>
      <c r="M334" s="51"/>
      <c r="N334" s="51"/>
      <c r="O334" s="51"/>
      <c r="P334" s="51"/>
    </row>
    <row r="335" spans="8:16" ht="15" x14ac:dyDescent="0.25">
      <c r="H335" s="50"/>
      <c r="I335" s="50"/>
      <c r="J335" s="50"/>
      <c r="K335" s="51"/>
      <c r="L335" s="51"/>
      <c r="M335" s="51"/>
      <c r="N335" s="51"/>
      <c r="O335" s="51"/>
      <c r="P335" s="51"/>
    </row>
    <row r="336" spans="8:16" ht="15" x14ac:dyDescent="0.25">
      <c r="H336" s="50"/>
      <c r="I336" s="50"/>
      <c r="J336" s="50"/>
      <c r="K336" s="51"/>
      <c r="L336" s="51"/>
      <c r="M336" s="51"/>
      <c r="N336" s="51"/>
      <c r="O336" s="51"/>
      <c r="P336" s="51"/>
    </row>
    <row r="337" spans="8:16" ht="15" x14ac:dyDescent="0.25">
      <c r="H337" s="50"/>
      <c r="I337" s="50"/>
      <c r="J337" s="50"/>
      <c r="K337" s="51"/>
      <c r="L337" s="51"/>
      <c r="M337" s="51"/>
      <c r="N337" s="51"/>
      <c r="O337" s="51"/>
      <c r="P337" s="51"/>
    </row>
    <row r="338" spans="8:16" ht="15" x14ac:dyDescent="0.25">
      <c r="H338" s="50"/>
      <c r="I338" s="50"/>
      <c r="J338" s="50"/>
      <c r="K338" s="51"/>
      <c r="L338" s="51"/>
      <c r="M338" s="51"/>
      <c r="N338" s="51"/>
      <c r="O338" s="51"/>
      <c r="P338" s="51"/>
    </row>
    <row r="339" spans="8:16" ht="15" x14ac:dyDescent="0.25">
      <c r="H339" s="50"/>
      <c r="I339" s="50"/>
      <c r="J339" s="50"/>
      <c r="K339" s="51"/>
      <c r="L339" s="51"/>
      <c r="M339" s="51"/>
      <c r="N339" s="51"/>
      <c r="O339" s="51"/>
      <c r="P339" s="51"/>
    </row>
    <row r="340" spans="8:16" ht="15" x14ac:dyDescent="0.25">
      <c r="H340" s="50"/>
      <c r="I340" s="50"/>
      <c r="J340" s="50"/>
      <c r="K340" s="51"/>
      <c r="L340" s="51"/>
      <c r="M340" s="51"/>
      <c r="N340" s="51"/>
      <c r="O340" s="51"/>
      <c r="P340" s="51"/>
    </row>
    <row r="341" spans="8:16" ht="15" x14ac:dyDescent="0.25">
      <c r="H341" s="50"/>
      <c r="I341" s="50"/>
      <c r="J341" s="50"/>
      <c r="K341" s="51"/>
      <c r="L341" s="51"/>
      <c r="M341" s="51"/>
      <c r="N341" s="51"/>
      <c r="O341" s="51"/>
      <c r="P341" s="51"/>
    </row>
    <row r="342" spans="8:16" ht="15" x14ac:dyDescent="0.25">
      <c r="H342" s="50"/>
      <c r="I342" s="50"/>
      <c r="J342" s="50"/>
      <c r="K342" s="51"/>
      <c r="L342" s="51"/>
      <c r="M342" s="51"/>
      <c r="N342" s="51"/>
      <c r="O342" s="51"/>
      <c r="P342" s="51"/>
    </row>
    <row r="343" spans="8:16" ht="15" x14ac:dyDescent="0.25">
      <c r="H343" s="50"/>
      <c r="I343" s="50"/>
      <c r="J343" s="50"/>
      <c r="K343" s="51"/>
      <c r="L343" s="51"/>
      <c r="M343" s="51"/>
      <c r="N343" s="51"/>
      <c r="O343" s="51"/>
      <c r="P343" s="51"/>
    </row>
    <row r="344" spans="8:16" ht="15" x14ac:dyDescent="0.25">
      <c r="H344" s="50"/>
      <c r="I344" s="50"/>
      <c r="J344" s="50"/>
      <c r="K344" s="51"/>
      <c r="L344" s="51"/>
      <c r="M344" s="51"/>
      <c r="N344" s="51"/>
      <c r="O344" s="51"/>
      <c r="P344" s="51"/>
    </row>
    <row r="345" spans="8:16" ht="15" x14ac:dyDescent="0.25">
      <c r="H345" s="50"/>
      <c r="I345" s="50"/>
      <c r="J345" s="50"/>
      <c r="K345" s="51"/>
      <c r="L345" s="51"/>
      <c r="M345" s="51"/>
      <c r="N345" s="51"/>
      <c r="O345" s="51"/>
      <c r="P345" s="51"/>
    </row>
    <row r="346" spans="8:16" ht="15" x14ac:dyDescent="0.25">
      <c r="H346" s="50"/>
      <c r="I346" s="50"/>
      <c r="J346" s="50"/>
      <c r="K346" s="51"/>
      <c r="L346" s="51"/>
      <c r="M346" s="51"/>
      <c r="N346" s="51"/>
      <c r="O346" s="51"/>
      <c r="P346" s="51"/>
    </row>
    <row r="347" spans="8:16" ht="15" x14ac:dyDescent="0.25">
      <c r="H347" s="50"/>
      <c r="I347" s="50"/>
      <c r="J347" s="50"/>
      <c r="K347" s="51"/>
      <c r="L347" s="51"/>
      <c r="M347" s="51"/>
      <c r="N347" s="51"/>
      <c r="O347" s="51"/>
      <c r="P347" s="51"/>
    </row>
    <row r="348" spans="8:16" ht="15" x14ac:dyDescent="0.25">
      <c r="H348" s="50"/>
      <c r="I348" s="50"/>
      <c r="J348" s="50"/>
      <c r="K348" s="51"/>
      <c r="L348" s="51"/>
      <c r="M348" s="51"/>
      <c r="N348" s="51"/>
      <c r="O348" s="51"/>
      <c r="P348" s="51"/>
    </row>
    <row r="349" spans="8:16" ht="15" x14ac:dyDescent="0.25">
      <c r="H349" s="50"/>
      <c r="I349" s="50"/>
      <c r="J349" s="50"/>
      <c r="K349" s="51"/>
      <c r="L349" s="51"/>
      <c r="M349" s="51"/>
      <c r="N349" s="51"/>
      <c r="O349" s="51"/>
      <c r="P349" s="51"/>
    </row>
    <row r="350" spans="8:16" ht="15" x14ac:dyDescent="0.25">
      <c r="H350" s="50"/>
      <c r="I350" s="50"/>
      <c r="J350" s="50"/>
      <c r="K350" s="51"/>
      <c r="L350" s="51"/>
      <c r="M350" s="51"/>
      <c r="N350" s="51"/>
      <c r="O350" s="51"/>
      <c r="P350" s="51"/>
    </row>
    <row r="351" spans="8:16" ht="15" x14ac:dyDescent="0.25">
      <c r="H351" s="50"/>
      <c r="I351" s="50"/>
      <c r="J351" s="50"/>
      <c r="K351" s="51"/>
      <c r="L351" s="51"/>
      <c r="M351" s="51"/>
      <c r="N351" s="51"/>
      <c r="O351" s="51"/>
      <c r="P351" s="51"/>
    </row>
    <row r="352" spans="8:16" ht="15" x14ac:dyDescent="0.25">
      <c r="H352" s="50"/>
      <c r="I352" s="50"/>
      <c r="J352" s="50"/>
      <c r="K352" s="51"/>
      <c r="L352" s="51"/>
      <c r="M352" s="51"/>
      <c r="N352" s="51"/>
      <c r="O352" s="51"/>
      <c r="P352" s="51"/>
    </row>
    <row r="353" spans="8:16" ht="15" x14ac:dyDescent="0.25">
      <c r="H353" s="50"/>
      <c r="I353" s="50"/>
      <c r="J353" s="50"/>
      <c r="K353" s="51"/>
      <c r="L353" s="51"/>
      <c r="M353" s="51"/>
      <c r="N353" s="51"/>
      <c r="O353" s="51"/>
      <c r="P353" s="51"/>
    </row>
    <row r="354" spans="8:16" ht="15" x14ac:dyDescent="0.25">
      <c r="H354" s="50"/>
      <c r="I354" s="50"/>
      <c r="J354" s="50"/>
      <c r="K354" s="51"/>
      <c r="L354" s="51"/>
      <c r="M354" s="51"/>
      <c r="N354" s="51"/>
      <c r="O354" s="51"/>
      <c r="P354" s="51"/>
    </row>
    <row r="355" spans="8:16" ht="15" x14ac:dyDescent="0.25">
      <c r="H355" s="50"/>
      <c r="I355" s="50"/>
      <c r="J355" s="50"/>
      <c r="K355" s="51"/>
      <c r="L355" s="51"/>
      <c r="M355" s="51"/>
      <c r="N355" s="51"/>
      <c r="O355" s="51"/>
      <c r="P355" s="51"/>
    </row>
    <row r="356" spans="8:16" ht="15" x14ac:dyDescent="0.25">
      <c r="H356" s="50"/>
      <c r="I356" s="50"/>
      <c r="J356" s="50"/>
      <c r="K356" s="51"/>
      <c r="L356" s="51"/>
      <c r="M356" s="51"/>
      <c r="N356" s="51"/>
      <c r="O356" s="51"/>
      <c r="P356" s="51"/>
    </row>
    <row r="357" spans="8:16" ht="15" x14ac:dyDescent="0.25">
      <c r="H357" s="50"/>
      <c r="I357" s="50"/>
      <c r="J357" s="50"/>
      <c r="K357" s="51"/>
      <c r="L357" s="51"/>
      <c r="M357" s="51"/>
      <c r="N357" s="51"/>
      <c r="O357" s="51"/>
      <c r="P357" s="51"/>
    </row>
    <row r="358" spans="8:16" ht="15" x14ac:dyDescent="0.25">
      <c r="H358" s="50"/>
      <c r="I358" s="50"/>
      <c r="J358" s="50"/>
      <c r="K358" s="51"/>
      <c r="L358" s="51"/>
      <c r="M358" s="51"/>
      <c r="N358" s="51"/>
      <c r="O358" s="51"/>
      <c r="P358" s="51"/>
    </row>
    <row r="359" spans="8:16" ht="15" x14ac:dyDescent="0.25">
      <c r="H359" s="50"/>
      <c r="I359" s="50"/>
      <c r="J359" s="50"/>
      <c r="K359" s="51"/>
      <c r="L359" s="51"/>
      <c r="M359" s="51"/>
      <c r="N359" s="51"/>
      <c r="O359" s="51"/>
      <c r="P359" s="51"/>
    </row>
    <row r="360" spans="8:16" ht="15" x14ac:dyDescent="0.25">
      <c r="H360" s="50"/>
      <c r="I360" s="50"/>
      <c r="J360" s="50"/>
      <c r="K360" s="51"/>
      <c r="L360" s="51"/>
      <c r="M360" s="51"/>
      <c r="N360" s="51"/>
      <c r="O360" s="51"/>
      <c r="P360" s="51"/>
    </row>
    <row r="361" spans="8:16" ht="15" x14ac:dyDescent="0.25">
      <c r="H361" s="50"/>
      <c r="I361" s="50"/>
      <c r="J361" s="50"/>
      <c r="K361" s="51"/>
      <c r="L361" s="51"/>
      <c r="M361" s="51"/>
      <c r="N361" s="51"/>
      <c r="O361" s="51"/>
      <c r="P361" s="51"/>
    </row>
    <row r="362" spans="8:16" ht="15" x14ac:dyDescent="0.25">
      <c r="H362" s="50"/>
      <c r="I362" s="50"/>
      <c r="J362" s="50"/>
      <c r="K362" s="51"/>
      <c r="L362" s="51"/>
      <c r="M362" s="51"/>
      <c r="N362" s="51"/>
      <c r="O362" s="51"/>
      <c r="P362" s="51"/>
    </row>
    <row r="363" spans="8:16" ht="15" x14ac:dyDescent="0.25">
      <c r="H363" s="50"/>
      <c r="I363" s="50"/>
      <c r="J363" s="50"/>
      <c r="K363" s="51"/>
      <c r="L363" s="51"/>
      <c r="M363" s="51"/>
      <c r="N363" s="51"/>
      <c r="O363" s="51"/>
      <c r="P363" s="51"/>
    </row>
    <row r="364" spans="8:16" ht="15" x14ac:dyDescent="0.25">
      <c r="H364" s="50"/>
      <c r="I364" s="50"/>
      <c r="J364" s="50"/>
      <c r="K364" s="51"/>
      <c r="L364" s="51"/>
      <c r="M364" s="51"/>
      <c r="N364" s="51"/>
      <c r="O364" s="51"/>
      <c r="P364" s="51"/>
    </row>
    <row r="365" spans="8:16" ht="15" x14ac:dyDescent="0.25">
      <c r="H365" s="50"/>
      <c r="I365" s="50"/>
      <c r="J365" s="50"/>
      <c r="K365" s="51"/>
      <c r="L365" s="51"/>
      <c r="M365" s="51"/>
      <c r="N365" s="51"/>
      <c r="O365" s="51"/>
      <c r="P365" s="51"/>
    </row>
    <row r="366" spans="8:16" ht="15" x14ac:dyDescent="0.25">
      <c r="H366" s="50"/>
      <c r="I366" s="50"/>
      <c r="J366" s="50"/>
      <c r="K366" s="51"/>
      <c r="L366" s="51"/>
      <c r="M366" s="51"/>
      <c r="N366" s="51"/>
      <c r="O366" s="51"/>
      <c r="P366" s="51"/>
    </row>
    <row r="367" spans="8:16" ht="15" x14ac:dyDescent="0.25">
      <c r="H367" s="50"/>
      <c r="I367" s="50"/>
      <c r="J367" s="50"/>
      <c r="K367" s="51"/>
      <c r="L367" s="51"/>
      <c r="M367" s="51"/>
      <c r="N367" s="51"/>
      <c r="O367" s="51"/>
      <c r="P367" s="51"/>
    </row>
    <row r="368" spans="8:16" ht="15" x14ac:dyDescent="0.25">
      <c r="H368" s="50"/>
      <c r="I368" s="50"/>
      <c r="J368" s="50"/>
      <c r="K368" s="51"/>
      <c r="L368" s="51"/>
      <c r="M368" s="51"/>
      <c r="N368" s="51"/>
      <c r="O368" s="51"/>
      <c r="P368" s="51"/>
    </row>
    <row r="369" spans="8:16" ht="15" x14ac:dyDescent="0.25">
      <c r="H369" s="50"/>
      <c r="I369" s="50"/>
      <c r="J369" s="50"/>
      <c r="K369" s="51"/>
      <c r="L369" s="51"/>
      <c r="M369" s="51"/>
      <c r="N369" s="51"/>
      <c r="O369" s="51"/>
      <c r="P369" s="51"/>
    </row>
    <row r="370" spans="8:16" ht="15" x14ac:dyDescent="0.25">
      <c r="H370" s="50"/>
      <c r="I370" s="50"/>
      <c r="J370" s="50"/>
      <c r="K370" s="51"/>
      <c r="L370" s="51"/>
      <c r="M370" s="51"/>
      <c r="N370" s="51"/>
      <c r="O370" s="51"/>
      <c r="P370" s="51"/>
    </row>
    <row r="371" spans="8:16" ht="15" x14ac:dyDescent="0.25">
      <c r="H371" s="50"/>
      <c r="I371" s="50"/>
      <c r="J371" s="50"/>
      <c r="K371" s="51"/>
      <c r="L371" s="51"/>
      <c r="M371" s="51"/>
      <c r="N371" s="51"/>
      <c r="O371" s="51"/>
      <c r="P371" s="51"/>
    </row>
    <row r="372" spans="8:16" ht="15" x14ac:dyDescent="0.25">
      <c r="H372" s="50"/>
      <c r="I372" s="50"/>
      <c r="J372" s="50"/>
      <c r="K372" s="51"/>
      <c r="L372" s="51"/>
      <c r="M372" s="51"/>
      <c r="N372" s="51"/>
      <c r="O372" s="51"/>
      <c r="P372" s="51"/>
    </row>
    <row r="373" spans="8:16" ht="15" x14ac:dyDescent="0.25">
      <c r="H373" s="50"/>
      <c r="I373" s="50"/>
      <c r="J373" s="50"/>
      <c r="K373" s="51"/>
      <c r="L373" s="51"/>
      <c r="M373" s="51"/>
      <c r="N373" s="51"/>
      <c r="O373" s="51"/>
      <c r="P373" s="51"/>
    </row>
    <row r="374" spans="8:16" ht="15" x14ac:dyDescent="0.25">
      <c r="H374" s="50"/>
      <c r="I374" s="50"/>
      <c r="J374" s="50"/>
      <c r="K374" s="51"/>
      <c r="L374" s="51"/>
      <c r="M374" s="51"/>
      <c r="N374" s="51"/>
      <c r="O374" s="51"/>
      <c r="P374" s="51"/>
    </row>
    <row r="375" spans="8:16" ht="15" x14ac:dyDescent="0.25">
      <c r="H375" s="50"/>
      <c r="I375" s="50"/>
      <c r="J375" s="50"/>
      <c r="K375" s="51"/>
      <c r="L375" s="51"/>
      <c r="M375" s="51"/>
      <c r="N375" s="51"/>
      <c r="O375" s="51"/>
      <c r="P375" s="51"/>
    </row>
    <row r="376" spans="8:16" ht="15" x14ac:dyDescent="0.25">
      <c r="H376" s="50"/>
      <c r="I376" s="50"/>
      <c r="J376" s="50"/>
      <c r="K376" s="51"/>
      <c r="L376" s="51"/>
      <c r="M376" s="51"/>
      <c r="N376" s="51"/>
      <c r="O376" s="51"/>
      <c r="P376" s="51"/>
    </row>
    <row r="377" spans="8:16" ht="15" x14ac:dyDescent="0.25">
      <c r="H377" s="50"/>
      <c r="I377" s="50"/>
      <c r="J377" s="50"/>
      <c r="K377" s="51"/>
      <c r="L377" s="51"/>
      <c r="M377" s="51"/>
      <c r="N377" s="51"/>
      <c r="O377" s="51"/>
      <c r="P377" s="51"/>
    </row>
    <row r="378" spans="8:16" ht="15" x14ac:dyDescent="0.25">
      <c r="H378" s="50"/>
      <c r="I378" s="50"/>
      <c r="J378" s="50"/>
      <c r="K378" s="51"/>
      <c r="L378" s="51"/>
      <c r="M378" s="51"/>
      <c r="N378" s="51"/>
      <c r="O378" s="51"/>
      <c r="P378" s="51"/>
    </row>
    <row r="379" spans="8:16" ht="15" x14ac:dyDescent="0.25">
      <c r="H379" s="50"/>
      <c r="I379" s="50"/>
      <c r="J379" s="50"/>
      <c r="K379" s="51"/>
      <c r="L379" s="51"/>
      <c r="M379" s="51"/>
      <c r="N379" s="51"/>
      <c r="O379" s="51"/>
      <c r="P379" s="51"/>
    </row>
    <row r="380" spans="8:16" ht="15" x14ac:dyDescent="0.25">
      <c r="H380" s="50"/>
      <c r="I380" s="50"/>
      <c r="J380" s="50"/>
      <c r="K380" s="51"/>
      <c r="L380" s="51"/>
      <c r="M380" s="51"/>
      <c r="N380" s="51"/>
      <c r="O380" s="51"/>
      <c r="P380" s="51"/>
    </row>
    <row r="381" spans="8:16" ht="15" x14ac:dyDescent="0.25">
      <c r="H381" s="50"/>
      <c r="I381" s="50"/>
      <c r="J381" s="50"/>
      <c r="K381" s="51"/>
      <c r="L381" s="51"/>
      <c r="M381" s="51"/>
      <c r="N381" s="51"/>
      <c r="O381" s="51"/>
      <c r="P381" s="51"/>
    </row>
    <row r="382" spans="8:16" ht="15" x14ac:dyDescent="0.25">
      <c r="H382" s="50"/>
      <c r="I382" s="50"/>
      <c r="J382" s="50"/>
      <c r="K382" s="51"/>
      <c r="L382" s="51"/>
      <c r="M382" s="51"/>
      <c r="N382" s="51"/>
      <c r="O382" s="51"/>
      <c r="P382" s="51"/>
    </row>
    <row r="383" spans="8:16" ht="15" x14ac:dyDescent="0.25">
      <c r="H383" s="50"/>
      <c r="I383" s="50"/>
      <c r="J383" s="50"/>
      <c r="K383" s="51"/>
      <c r="L383" s="51"/>
      <c r="M383" s="51"/>
      <c r="N383" s="51"/>
      <c r="O383" s="51"/>
      <c r="P383" s="51"/>
    </row>
    <row r="384" spans="8:16" ht="15" x14ac:dyDescent="0.25">
      <c r="H384" s="50"/>
      <c r="I384" s="50"/>
      <c r="J384" s="50"/>
      <c r="K384" s="51"/>
      <c r="L384" s="51"/>
      <c r="M384" s="51"/>
      <c r="N384" s="51"/>
      <c r="O384" s="51"/>
      <c r="P384" s="51"/>
    </row>
    <row r="385" spans="8:16" ht="15" x14ac:dyDescent="0.25">
      <c r="H385" s="50"/>
      <c r="I385" s="50"/>
      <c r="J385" s="50"/>
      <c r="K385" s="51"/>
      <c r="L385" s="51"/>
      <c r="M385" s="51"/>
      <c r="N385" s="51"/>
      <c r="O385" s="51"/>
      <c r="P385" s="51"/>
    </row>
    <row r="386" spans="8:16" ht="15" x14ac:dyDescent="0.25">
      <c r="H386" s="50"/>
      <c r="I386" s="50"/>
      <c r="J386" s="50"/>
      <c r="K386" s="51"/>
      <c r="L386" s="51"/>
      <c r="M386" s="51"/>
      <c r="N386" s="51"/>
      <c r="O386" s="51"/>
      <c r="P386" s="51"/>
    </row>
    <row r="387" spans="8:16" ht="15" x14ac:dyDescent="0.25">
      <c r="H387" s="50"/>
      <c r="I387" s="50"/>
      <c r="J387" s="50"/>
      <c r="K387" s="51"/>
      <c r="L387" s="51"/>
      <c r="M387" s="51"/>
      <c r="N387" s="51"/>
      <c r="O387" s="51"/>
      <c r="P387" s="51"/>
    </row>
    <row r="388" spans="8:16" ht="15" x14ac:dyDescent="0.25">
      <c r="H388" s="50"/>
      <c r="I388" s="50"/>
      <c r="J388" s="50"/>
      <c r="K388" s="51"/>
      <c r="L388" s="51"/>
      <c r="M388" s="51"/>
      <c r="N388" s="51"/>
      <c r="O388" s="51"/>
      <c r="P388" s="51"/>
    </row>
    <row r="389" spans="8:16" ht="15" x14ac:dyDescent="0.25">
      <c r="H389" s="50"/>
      <c r="I389" s="50"/>
      <c r="J389" s="50"/>
      <c r="K389" s="51"/>
      <c r="L389" s="51"/>
      <c r="M389" s="51"/>
      <c r="N389" s="51"/>
      <c r="O389" s="51"/>
      <c r="P389" s="51"/>
    </row>
    <row r="390" spans="8:16" ht="15" x14ac:dyDescent="0.25">
      <c r="H390" s="50"/>
      <c r="I390" s="50"/>
      <c r="J390" s="50"/>
      <c r="K390" s="51"/>
      <c r="L390" s="51"/>
      <c r="M390" s="51"/>
      <c r="N390" s="51"/>
      <c r="O390" s="51"/>
      <c r="P390" s="51"/>
    </row>
    <row r="391" spans="8:16" ht="15" x14ac:dyDescent="0.25">
      <c r="H391" s="50"/>
      <c r="I391" s="50"/>
      <c r="J391" s="50"/>
      <c r="K391" s="51"/>
      <c r="L391" s="51"/>
      <c r="M391" s="51"/>
      <c r="N391" s="51"/>
      <c r="O391" s="51"/>
      <c r="P391" s="51"/>
    </row>
    <row r="392" spans="8:16" ht="15" x14ac:dyDescent="0.25">
      <c r="H392" s="50"/>
      <c r="I392" s="50"/>
      <c r="J392" s="50"/>
      <c r="K392" s="51"/>
      <c r="L392" s="51"/>
      <c r="M392" s="51"/>
      <c r="N392" s="51"/>
      <c r="O392" s="51"/>
      <c r="P392" s="51"/>
    </row>
    <row r="393" spans="8:16" ht="15" x14ac:dyDescent="0.25">
      <c r="H393" s="50"/>
      <c r="I393" s="50"/>
      <c r="J393" s="50"/>
      <c r="K393" s="51"/>
      <c r="L393" s="51"/>
      <c r="M393" s="51"/>
      <c r="N393" s="51"/>
      <c r="O393" s="51"/>
      <c r="P393" s="51"/>
    </row>
    <row r="394" spans="8:16" ht="15" x14ac:dyDescent="0.25">
      <c r="H394" s="50"/>
      <c r="I394" s="50"/>
      <c r="J394" s="50"/>
      <c r="K394" s="51"/>
      <c r="L394" s="51"/>
      <c r="M394" s="51"/>
      <c r="N394" s="51"/>
      <c r="O394" s="51"/>
      <c r="P394" s="51"/>
    </row>
    <row r="395" spans="8:16" ht="15" x14ac:dyDescent="0.25">
      <c r="H395" s="50"/>
      <c r="I395" s="50"/>
      <c r="J395" s="50"/>
      <c r="K395" s="51"/>
      <c r="L395" s="51"/>
      <c r="M395" s="51"/>
      <c r="N395" s="51"/>
      <c r="O395" s="51"/>
      <c r="P395" s="51"/>
    </row>
    <row r="396" spans="8:16" ht="15" x14ac:dyDescent="0.25">
      <c r="H396" s="50"/>
      <c r="I396" s="50"/>
      <c r="J396" s="50"/>
      <c r="K396" s="51"/>
      <c r="L396" s="51"/>
      <c r="M396" s="51"/>
      <c r="N396" s="51"/>
      <c r="O396" s="51"/>
      <c r="P396" s="51"/>
    </row>
    <row r="397" spans="8:16" ht="15" x14ac:dyDescent="0.25">
      <c r="H397" s="50"/>
      <c r="I397" s="50"/>
      <c r="J397" s="50"/>
      <c r="K397" s="51"/>
      <c r="L397" s="51"/>
      <c r="M397" s="51"/>
      <c r="N397" s="51"/>
      <c r="O397" s="51"/>
      <c r="P397" s="51"/>
    </row>
    <row r="398" spans="8:16" ht="15" x14ac:dyDescent="0.25">
      <c r="H398" s="50"/>
      <c r="I398" s="50"/>
      <c r="J398" s="50"/>
      <c r="K398" s="51"/>
      <c r="L398" s="51"/>
      <c r="M398" s="51"/>
      <c r="N398" s="51"/>
      <c r="O398" s="51"/>
      <c r="P398" s="51"/>
    </row>
    <row r="399" spans="8:16" ht="15" x14ac:dyDescent="0.25">
      <c r="H399" s="50"/>
      <c r="I399" s="50"/>
      <c r="J399" s="50"/>
      <c r="K399" s="51"/>
      <c r="L399" s="51"/>
      <c r="M399" s="51"/>
      <c r="N399" s="51"/>
      <c r="O399" s="51"/>
      <c r="P399" s="51"/>
    </row>
    <row r="400" spans="8:16" ht="15" x14ac:dyDescent="0.25">
      <c r="H400" s="50"/>
      <c r="I400" s="50"/>
      <c r="J400" s="50"/>
      <c r="K400" s="51"/>
      <c r="L400" s="51"/>
      <c r="M400" s="51"/>
      <c r="N400" s="51"/>
      <c r="O400" s="51"/>
      <c r="P400" s="51"/>
    </row>
    <row r="401" spans="8:16" ht="15" x14ac:dyDescent="0.25">
      <c r="H401" s="50"/>
      <c r="I401" s="50"/>
      <c r="J401" s="50"/>
      <c r="K401" s="51"/>
      <c r="L401" s="51"/>
      <c r="M401" s="51"/>
      <c r="N401" s="51"/>
      <c r="O401" s="51"/>
      <c r="P401" s="51"/>
    </row>
    <row r="402" spans="8:16" ht="15" x14ac:dyDescent="0.25">
      <c r="H402" s="50"/>
      <c r="I402" s="50"/>
      <c r="J402" s="50"/>
      <c r="K402" s="51"/>
      <c r="L402" s="51"/>
      <c r="M402" s="51"/>
      <c r="N402" s="51"/>
      <c r="O402" s="51"/>
      <c r="P402" s="51"/>
    </row>
    <row r="403" spans="8:16" ht="15" x14ac:dyDescent="0.25">
      <c r="H403" s="50"/>
      <c r="I403" s="50"/>
      <c r="J403" s="50"/>
      <c r="K403" s="51"/>
      <c r="L403" s="51"/>
      <c r="M403" s="51"/>
      <c r="N403" s="51"/>
      <c r="O403" s="51"/>
      <c r="P403" s="51"/>
    </row>
    <row r="404" spans="8:16" ht="15" x14ac:dyDescent="0.25">
      <c r="H404" s="50"/>
      <c r="I404" s="50"/>
      <c r="J404" s="50"/>
      <c r="K404" s="51"/>
      <c r="L404" s="51"/>
      <c r="M404" s="51"/>
      <c r="N404" s="51"/>
      <c r="O404" s="51"/>
      <c r="P404" s="51"/>
    </row>
    <row r="405" spans="8:16" ht="15" x14ac:dyDescent="0.25">
      <c r="H405" s="50"/>
      <c r="I405" s="50"/>
      <c r="J405" s="50"/>
      <c r="K405" s="51"/>
      <c r="L405" s="51"/>
      <c r="M405" s="51"/>
      <c r="N405" s="51"/>
      <c r="O405" s="51"/>
      <c r="P405" s="51"/>
    </row>
    <row r="406" spans="8:16" ht="15" x14ac:dyDescent="0.25">
      <c r="H406" s="50"/>
      <c r="I406" s="50"/>
      <c r="J406" s="50"/>
      <c r="K406" s="51"/>
      <c r="L406" s="51"/>
      <c r="M406" s="51"/>
      <c r="N406" s="51"/>
      <c r="O406" s="51"/>
      <c r="P406" s="51"/>
    </row>
    <row r="407" spans="8:16" ht="15" x14ac:dyDescent="0.25">
      <c r="H407" s="50"/>
      <c r="I407" s="50"/>
      <c r="J407" s="50"/>
      <c r="K407" s="51"/>
      <c r="L407" s="51"/>
      <c r="M407" s="51"/>
      <c r="N407" s="51"/>
      <c r="O407" s="51"/>
      <c r="P407" s="51"/>
    </row>
    <row r="408" spans="8:16" ht="15" x14ac:dyDescent="0.25">
      <c r="H408" s="50"/>
      <c r="I408" s="50"/>
      <c r="J408" s="50"/>
      <c r="K408" s="51"/>
      <c r="L408" s="51"/>
      <c r="M408" s="51"/>
      <c r="N408" s="51"/>
      <c r="O408" s="51"/>
      <c r="P408" s="51"/>
    </row>
    <row r="409" spans="8:16" ht="15" x14ac:dyDescent="0.25">
      <c r="H409" s="50"/>
      <c r="I409" s="50"/>
      <c r="J409" s="50"/>
      <c r="K409" s="51"/>
      <c r="L409" s="51"/>
      <c r="M409" s="51"/>
      <c r="N409" s="51"/>
      <c r="O409" s="51"/>
      <c r="P409" s="51"/>
    </row>
    <row r="410" spans="8:16" ht="15" x14ac:dyDescent="0.25">
      <c r="H410" s="50"/>
      <c r="I410" s="50"/>
      <c r="J410" s="50"/>
      <c r="K410" s="51"/>
      <c r="L410" s="51"/>
      <c r="M410" s="51"/>
      <c r="N410" s="51"/>
      <c r="O410" s="51"/>
      <c r="P410" s="51"/>
    </row>
    <row r="411" spans="8:16" ht="15" x14ac:dyDescent="0.25">
      <c r="H411" s="50"/>
      <c r="I411" s="50"/>
      <c r="J411" s="50"/>
      <c r="K411" s="51"/>
      <c r="L411" s="51"/>
      <c r="M411" s="51"/>
      <c r="N411" s="51"/>
      <c r="O411" s="51"/>
      <c r="P411" s="51"/>
    </row>
    <row r="412" spans="8:16" ht="15" x14ac:dyDescent="0.25">
      <c r="H412" s="50"/>
      <c r="I412" s="50"/>
      <c r="J412" s="50"/>
      <c r="K412" s="51"/>
      <c r="L412" s="51"/>
      <c r="M412" s="51"/>
      <c r="N412" s="51"/>
      <c r="O412" s="51"/>
      <c r="P412" s="51"/>
    </row>
    <row r="413" spans="8:16" ht="15" x14ac:dyDescent="0.25">
      <c r="H413" s="50"/>
      <c r="I413" s="50"/>
      <c r="J413" s="50"/>
      <c r="K413" s="51"/>
      <c r="L413" s="51"/>
      <c r="M413" s="51"/>
      <c r="N413" s="51"/>
      <c r="O413" s="51"/>
      <c r="P413" s="51"/>
    </row>
    <row r="414" spans="8:16" ht="15" x14ac:dyDescent="0.25">
      <c r="H414" s="50"/>
      <c r="I414" s="50"/>
      <c r="J414" s="50"/>
      <c r="K414" s="51"/>
      <c r="L414" s="51"/>
      <c r="M414" s="51"/>
      <c r="N414" s="51"/>
      <c r="O414" s="51"/>
      <c r="P414" s="51"/>
    </row>
    <row r="415" spans="8:16" ht="15" x14ac:dyDescent="0.25">
      <c r="H415" s="50"/>
      <c r="I415" s="50"/>
      <c r="J415" s="50"/>
      <c r="K415" s="51"/>
      <c r="L415" s="51"/>
      <c r="M415" s="51"/>
      <c r="N415" s="51"/>
      <c r="O415" s="51"/>
      <c r="P415" s="51"/>
    </row>
    <row r="416" spans="8:16" ht="15" x14ac:dyDescent="0.25">
      <c r="H416" s="50"/>
      <c r="I416" s="50"/>
      <c r="J416" s="50"/>
      <c r="K416" s="51"/>
      <c r="L416" s="51"/>
      <c r="M416" s="51"/>
      <c r="N416" s="51"/>
      <c r="O416" s="51"/>
      <c r="P416" s="51"/>
    </row>
    <row r="417" spans="8:16" ht="15" x14ac:dyDescent="0.25">
      <c r="H417" s="50"/>
      <c r="I417" s="50"/>
      <c r="J417" s="50"/>
      <c r="K417" s="51"/>
      <c r="L417" s="51"/>
      <c r="M417" s="51"/>
      <c r="N417" s="51"/>
      <c r="O417" s="51"/>
      <c r="P417" s="51"/>
    </row>
    <row r="418" spans="8:16" ht="15" x14ac:dyDescent="0.25">
      <c r="H418" s="50"/>
      <c r="I418" s="50"/>
      <c r="J418" s="50"/>
      <c r="K418" s="51"/>
      <c r="L418" s="51"/>
      <c r="M418" s="51"/>
      <c r="N418" s="51"/>
      <c r="O418" s="51"/>
      <c r="P418" s="51"/>
    </row>
    <row r="419" spans="8:16" ht="15" x14ac:dyDescent="0.25">
      <c r="H419" s="50"/>
      <c r="I419" s="50"/>
      <c r="J419" s="50"/>
      <c r="K419" s="51"/>
      <c r="L419" s="51"/>
      <c r="M419" s="51"/>
      <c r="N419" s="51"/>
      <c r="O419" s="51"/>
      <c r="P419" s="51"/>
    </row>
    <row r="420" spans="8:16" ht="15" x14ac:dyDescent="0.25">
      <c r="H420" s="50"/>
      <c r="I420" s="50"/>
      <c r="J420" s="50"/>
      <c r="K420" s="51"/>
      <c r="L420" s="51"/>
      <c r="M420" s="51"/>
      <c r="N420" s="51"/>
      <c r="O420" s="51"/>
      <c r="P420" s="51"/>
    </row>
    <row r="421" spans="8:16" ht="15" x14ac:dyDescent="0.25">
      <c r="H421" s="50"/>
      <c r="I421" s="50"/>
      <c r="J421" s="50"/>
      <c r="K421" s="51"/>
      <c r="L421" s="51"/>
      <c r="M421" s="51"/>
      <c r="N421" s="51"/>
      <c r="O421" s="51"/>
      <c r="P421" s="51"/>
    </row>
    <row r="422" spans="8:16" ht="15" x14ac:dyDescent="0.25">
      <c r="H422" s="50"/>
      <c r="I422" s="50"/>
      <c r="J422" s="50"/>
      <c r="K422" s="51"/>
      <c r="L422" s="51"/>
      <c r="M422" s="51"/>
      <c r="N422" s="51"/>
      <c r="O422" s="51"/>
      <c r="P422" s="51"/>
    </row>
    <row r="423" spans="8:16" ht="15" x14ac:dyDescent="0.25">
      <c r="H423" s="50"/>
      <c r="I423" s="50"/>
      <c r="J423" s="50"/>
      <c r="K423" s="51"/>
      <c r="L423" s="51"/>
      <c r="M423" s="51"/>
      <c r="N423" s="51"/>
      <c r="O423" s="51"/>
      <c r="P423" s="51"/>
    </row>
    <row r="424" spans="8:16" ht="15" x14ac:dyDescent="0.25">
      <c r="H424" s="50"/>
      <c r="I424" s="50"/>
      <c r="J424" s="50"/>
      <c r="K424" s="51"/>
      <c r="L424" s="51"/>
      <c r="M424" s="51"/>
      <c r="N424" s="51"/>
      <c r="O424" s="51"/>
      <c r="P424" s="51"/>
    </row>
    <row r="425" spans="8:16" ht="15" x14ac:dyDescent="0.25">
      <c r="H425" s="50"/>
      <c r="I425" s="50"/>
      <c r="J425" s="50"/>
      <c r="K425" s="51"/>
      <c r="L425" s="51"/>
      <c r="M425" s="51"/>
      <c r="N425" s="51"/>
      <c r="O425" s="51"/>
      <c r="P425" s="51"/>
    </row>
    <row r="426" spans="8:16" ht="15" x14ac:dyDescent="0.25">
      <c r="H426" s="50"/>
      <c r="I426" s="50"/>
      <c r="J426" s="50"/>
      <c r="K426" s="51"/>
      <c r="L426" s="51"/>
      <c r="M426" s="51"/>
      <c r="N426" s="51"/>
      <c r="O426" s="51"/>
      <c r="P426" s="51"/>
    </row>
    <row r="427" spans="8:16" ht="15" x14ac:dyDescent="0.25">
      <c r="H427" s="50"/>
      <c r="I427" s="50"/>
      <c r="J427" s="50"/>
      <c r="K427" s="51"/>
      <c r="L427" s="51"/>
      <c r="M427" s="51"/>
      <c r="N427" s="51"/>
      <c r="O427" s="51"/>
      <c r="P427" s="51"/>
    </row>
    <row r="428" spans="8:16" ht="15" x14ac:dyDescent="0.25">
      <c r="H428" s="50"/>
      <c r="I428" s="50"/>
      <c r="J428" s="50"/>
      <c r="K428" s="51"/>
      <c r="L428" s="51"/>
      <c r="M428" s="51"/>
      <c r="N428" s="51"/>
      <c r="O428" s="51"/>
      <c r="P428" s="51"/>
    </row>
    <row r="429" spans="8:16" ht="15" x14ac:dyDescent="0.25">
      <c r="H429" s="50"/>
      <c r="I429" s="50"/>
      <c r="J429" s="50"/>
      <c r="K429" s="51"/>
      <c r="L429" s="51"/>
      <c r="M429" s="51"/>
      <c r="N429" s="51"/>
      <c r="O429" s="51"/>
      <c r="P429" s="51"/>
    </row>
    <row r="430" spans="8:16" ht="15" x14ac:dyDescent="0.25">
      <c r="H430" s="50"/>
      <c r="I430" s="50"/>
      <c r="J430" s="50"/>
      <c r="K430" s="51"/>
      <c r="L430" s="51"/>
      <c r="M430" s="51"/>
      <c r="N430" s="51"/>
      <c r="O430" s="51"/>
      <c r="P430" s="51"/>
    </row>
    <row r="431" spans="8:16" ht="15" x14ac:dyDescent="0.25">
      <c r="H431" s="50"/>
      <c r="I431" s="50"/>
      <c r="J431" s="50"/>
      <c r="K431" s="51"/>
      <c r="L431" s="51"/>
      <c r="M431" s="51"/>
      <c r="N431" s="51"/>
      <c r="O431" s="51"/>
      <c r="P431" s="51"/>
    </row>
    <row r="432" spans="8:16" ht="15" x14ac:dyDescent="0.25">
      <c r="H432" s="50"/>
      <c r="I432" s="50"/>
      <c r="J432" s="50"/>
      <c r="K432" s="51"/>
      <c r="L432" s="51"/>
      <c r="M432" s="51"/>
      <c r="N432" s="51"/>
      <c r="O432" s="51"/>
      <c r="P432" s="51"/>
    </row>
    <row r="433" spans="8:16" ht="15" x14ac:dyDescent="0.25">
      <c r="H433" s="50"/>
      <c r="I433" s="50"/>
      <c r="J433" s="50"/>
      <c r="K433" s="51"/>
      <c r="L433" s="51"/>
      <c r="M433" s="51"/>
      <c r="N433" s="51"/>
      <c r="O433" s="51"/>
      <c r="P433" s="51"/>
    </row>
    <row r="434" spans="8:16" ht="15" x14ac:dyDescent="0.25">
      <c r="H434" s="50"/>
      <c r="I434" s="50"/>
      <c r="J434" s="50"/>
      <c r="K434" s="51"/>
      <c r="L434" s="51"/>
      <c r="M434" s="51"/>
      <c r="N434" s="51"/>
      <c r="O434" s="51"/>
      <c r="P434" s="51"/>
    </row>
    <row r="435" spans="8:16" ht="15" x14ac:dyDescent="0.25">
      <c r="H435" s="50"/>
      <c r="I435" s="50"/>
      <c r="J435" s="50"/>
      <c r="K435" s="51"/>
      <c r="L435" s="51"/>
      <c r="M435" s="51"/>
      <c r="N435" s="51"/>
      <c r="O435" s="51"/>
      <c r="P435" s="51"/>
    </row>
    <row r="436" spans="8:16" ht="15" x14ac:dyDescent="0.25">
      <c r="H436" s="50"/>
      <c r="I436" s="50"/>
      <c r="J436" s="50"/>
      <c r="K436" s="51"/>
      <c r="L436" s="51"/>
      <c r="M436" s="51"/>
      <c r="N436" s="51"/>
      <c r="O436" s="51"/>
      <c r="P436" s="51"/>
    </row>
    <row r="437" spans="8:16" ht="15" x14ac:dyDescent="0.25">
      <c r="H437" s="50"/>
      <c r="I437" s="50"/>
      <c r="J437" s="50"/>
      <c r="K437" s="51"/>
      <c r="L437" s="51"/>
      <c r="M437" s="51"/>
      <c r="N437" s="51"/>
      <c r="O437" s="51"/>
      <c r="P437" s="51"/>
    </row>
    <row r="438" spans="8:16" ht="15" x14ac:dyDescent="0.25">
      <c r="H438" s="50"/>
      <c r="I438" s="50"/>
      <c r="J438" s="50"/>
      <c r="K438" s="51"/>
      <c r="L438" s="51"/>
      <c r="M438" s="51"/>
      <c r="N438" s="51"/>
      <c r="O438" s="51"/>
      <c r="P438" s="51"/>
    </row>
    <row r="439" spans="8:16" ht="15" x14ac:dyDescent="0.25">
      <c r="H439" s="50"/>
      <c r="I439" s="50"/>
      <c r="J439" s="50"/>
      <c r="K439" s="51"/>
      <c r="L439" s="51"/>
      <c r="M439" s="51"/>
      <c r="N439" s="51"/>
      <c r="O439" s="51"/>
      <c r="P439" s="51"/>
    </row>
    <row r="440" spans="8:16" ht="15" x14ac:dyDescent="0.25">
      <c r="H440" s="50"/>
      <c r="I440" s="50"/>
      <c r="J440" s="50"/>
      <c r="K440" s="51"/>
      <c r="L440" s="51"/>
      <c r="M440" s="51"/>
      <c r="N440" s="51"/>
      <c r="O440" s="51"/>
      <c r="P440" s="51"/>
    </row>
    <row r="441" spans="8:16" ht="15" x14ac:dyDescent="0.25">
      <c r="H441" s="50"/>
      <c r="I441" s="50"/>
      <c r="J441" s="50"/>
      <c r="K441" s="51"/>
      <c r="L441" s="51"/>
      <c r="M441" s="51"/>
      <c r="N441" s="51"/>
      <c r="O441" s="51"/>
      <c r="P441" s="51"/>
    </row>
    <row r="442" spans="8:16" ht="15" x14ac:dyDescent="0.25">
      <c r="H442" s="50"/>
      <c r="I442" s="50"/>
      <c r="J442" s="50"/>
      <c r="K442" s="51"/>
      <c r="L442" s="51"/>
      <c r="M442" s="51"/>
      <c r="N442" s="51"/>
      <c r="O442" s="51"/>
      <c r="P442" s="51"/>
    </row>
    <row r="443" spans="8:16" ht="15" x14ac:dyDescent="0.25">
      <c r="H443" s="50"/>
      <c r="I443" s="50"/>
      <c r="J443" s="50"/>
      <c r="K443" s="51"/>
      <c r="L443" s="51"/>
      <c r="M443" s="51"/>
      <c r="N443" s="51"/>
      <c r="O443" s="51"/>
      <c r="P443" s="51"/>
    </row>
    <row r="444" spans="8:16" ht="15" x14ac:dyDescent="0.25">
      <c r="H444" s="50"/>
      <c r="I444" s="50"/>
      <c r="J444" s="50"/>
      <c r="K444" s="51"/>
      <c r="L444" s="51"/>
      <c r="M444" s="51"/>
      <c r="N444" s="51"/>
      <c r="O444" s="51"/>
      <c r="P444" s="51"/>
    </row>
    <row r="445" spans="8:16" ht="15" x14ac:dyDescent="0.25">
      <c r="H445" s="50"/>
      <c r="I445" s="50"/>
      <c r="J445" s="50"/>
      <c r="K445" s="51"/>
      <c r="L445" s="51"/>
      <c r="M445" s="51"/>
      <c r="N445" s="51"/>
      <c r="O445" s="51"/>
      <c r="P445" s="51"/>
    </row>
    <row r="446" spans="8:16" ht="15" x14ac:dyDescent="0.25">
      <c r="H446" s="50"/>
      <c r="I446" s="50"/>
      <c r="J446" s="50"/>
      <c r="K446" s="51"/>
      <c r="L446" s="51"/>
      <c r="M446" s="51"/>
      <c r="N446" s="51"/>
      <c r="O446" s="51"/>
      <c r="P446" s="51"/>
    </row>
    <row r="447" spans="8:16" ht="15" x14ac:dyDescent="0.25">
      <c r="H447" s="50"/>
      <c r="I447" s="50"/>
      <c r="J447" s="50"/>
      <c r="K447" s="51"/>
      <c r="L447" s="51"/>
      <c r="M447" s="51"/>
      <c r="N447" s="51"/>
      <c r="O447" s="51"/>
      <c r="P447" s="51"/>
    </row>
    <row r="448" spans="8:16" ht="15" x14ac:dyDescent="0.25">
      <c r="H448" s="50"/>
      <c r="I448" s="50"/>
      <c r="J448" s="50"/>
      <c r="K448" s="51"/>
      <c r="L448" s="51"/>
      <c r="M448" s="51"/>
      <c r="N448" s="51"/>
      <c r="O448" s="51"/>
      <c r="P448" s="51"/>
    </row>
    <row r="449" spans="8:16" ht="15" x14ac:dyDescent="0.25">
      <c r="H449" s="50"/>
      <c r="I449" s="50"/>
      <c r="J449" s="50"/>
      <c r="K449" s="51"/>
      <c r="L449" s="51"/>
      <c r="M449" s="51"/>
      <c r="N449" s="51"/>
      <c r="O449" s="51"/>
      <c r="P449" s="51"/>
    </row>
    <row r="450" spans="8:16" ht="15" x14ac:dyDescent="0.25">
      <c r="H450" s="50"/>
      <c r="I450" s="50"/>
      <c r="J450" s="50"/>
      <c r="K450" s="51"/>
      <c r="L450" s="51"/>
      <c r="M450" s="51"/>
      <c r="N450" s="51"/>
      <c r="O450" s="51"/>
      <c r="P450" s="51"/>
    </row>
    <row r="451" spans="8:16" ht="15" x14ac:dyDescent="0.25">
      <c r="H451" s="50"/>
      <c r="I451" s="50"/>
      <c r="J451" s="50"/>
      <c r="K451" s="51"/>
      <c r="L451" s="51"/>
      <c r="M451" s="51"/>
      <c r="N451" s="51"/>
      <c r="O451" s="51"/>
      <c r="P451" s="51"/>
    </row>
    <row r="452" spans="8:16" ht="15" x14ac:dyDescent="0.25">
      <c r="H452" s="50"/>
      <c r="I452" s="50"/>
      <c r="J452" s="50"/>
      <c r="K452" s="51"/>
      <c r="L452" s="51"/>
      <c r="M452" s="51"/>
      <c r="N452" s="51"/>
      <c r="O452" s="51"/>
      <c r="P452" s="51"/>
    </row>
    <row r="453" spans="8:16" ht="15" x14ac:dyDescent="0.25">
      <c r="H453" s="50"/>
      <c r="I453" s="50"/>
      <c r="J453" s="50"/>
      <c r="K453" s="51"/>
      <c r="L453" s="51"/>
      <c r="M453" s="51"/>
      <c r="N453" s="51"/>
      <c r="O453" s="51"/>
      <c r="P453" s="51"/>
    </row>
    <row r="454" spans="8:16" ht="15" x14ac:dyDescent="0.25">
      <c r="H454" s="50"/>
      <c r="I454" s="50"/>
      <c r="J454" s="50"/>
      <c r="K454" s="51"/>
      <c r="L454" s="51"/>
      <c r="M454" s="51"/>
      <c r="N454" s="51"/>
      <c r="O454" s="51"/>
      <c r="P454" s="51"/>
    </row>
    <row r="455" spans="8:16" ht="15" x14ac:dyDescent="0.25">
      <c r="H455" s="50"/>
      <c r="I455" s="50"/>
      <c r="J455" s="50"/>
      <c r="K455" s="51"/>
      <c r="L455" s="51"/>
      <c r="M455" s="51"/>
      <c r="N455" s="51"/>
      <c r="O455" s="51"/>
      <c r="P455" s="51"/>
    </row>
    <row r="456" spans="8:16" ht="15" x14ac:dyDescent="0.25">
      <c r="H456" s="50"/>
      <c r="I456" s="50"/>
      <c r="J456" s="50"/>
      <c r="K456" s="51"/>
      <c r="L456" s="51"/>
      <c r="M456" s="51"/>
      <c r="N456" s="51"/>
      <c r="O456" s="51"/>
      <c r="P456" s="51"/>
    </row>
    <row r="457" spans="8:16" ht="15" x14ac:dyDescent="0.25">
      <c r="H457" s="50"/>
      <c r="I457" s="50"/>
      <c r="J457" s="50"/>
      <c r="K457" s="51"/>
      <c r="L457" s="51"/>
      <c r="M457" s="51"/>
      <c r="N457" s="51"/>
      <c r="O457" s="51"/>
      <c r="P457" s="51"/>
    </row>
    <row r="458" spans="8:16" ht="15" x14ac:dyDescent="0.25">
      <c r="H458" s="50"/>
      <c r="I458" s="50"/>
      <c r="J458" s="50"/>
      <c r="K458" s="51"/>
      <c r="L458" s="51"/>
      <c r="M458" s="51"/>
      <c r="N458" s="51"/>
      <c r="O458" s="51"/>
      <c r="P458" s="51"/>
    </row>
    <row r="459" spans="8:16" ht="15" x14ac:dyDescent="0.25">
      <c r="H459" s="50"/>
      <c r="I459" s="50"/>
      <c r="J459" s="50"/>
      <c r="K459" s="51"/>
      <c r="L459" s="51"/>
      <c r="M459" s="51"/>
      <c r="N459" s="51"/>
      <c r="O459" s="51"/>
      <c r="P459" s="51"/>
    </row>
    <row r="460" spans="8:16" ht="15" x14ac:dyDescent="0.25">
      <c r="H460" s="50"/>
      <c r="I460" s="50"/>
      <c r="J460" s="50"/>
      <c r="K460" s="51"/>
      <c r="L460" s="51"/>
      <c r="M460" s="51"/>
      <c r="N460" s="51"/>
      <c r="O460" s="51"/>
      <c r="P460" s="51"/>
    </row>
    <row r="461" spans="8:16" ht="15" x14ac:dyDescent="0.25">
      <c r="H461" s="50"/>
      <c r="I461" s="50"/>
      <c r="J461" s="50"/>
      <c r="K461" s="51"/>
      <c r="L461" s="51"/>
      <c r="M461" s="51"/>
      <c r="N461" s="51"/>
      <c r="O461" s="51"/>
      <c r="P461" s="51"/>
    </row>
    <row r="462" spans="8:16" ht="15" x14ac:dyDescent="0.25">
      <c r="H462" s="50"/>
      <c r="I462" s="50"/>
      <c r="J462" s="50"/>
      <c r="K462" s="51"/>
      <c r="L462" s="51"/>
      <c r="M462" s="51"/>
      <c r="N462" s="51"/>
      <c r="O462" s="51"/>
      <c r="P462" s="51"/>
    </row>
    <row r="463" spans="8:16" ht="15" x14ac:dyDescent="0.25">
      <c r="H463" s="50"/>
      <c r="I463" s="50"/>
      <c r="J463" s="50"/>
      <c r="K463" s="51"/>
      <c r="L463" s="51"/>
      <c r="M463" s="51"/>
      <c r="N463" s="51"/>
      <c r="O463" s="51"/>
      <c r="P463" s="51"/>
    </row>
    <row r="464" spans="8:16" ht="15" x14ac:dyDescent="0.25">
      <c r="H464" s="50"/>
      <c r="I464" s="50"/>
      <c r="J464" s="50"/>
      <c r="K464" s="51"/>
      <c r="L464" s="51"/>
      <c r="M464" s="51"/>
      <c r="N464" s="51"/>
      <c r="O464" s="51"/>
      <c r="P464" s="51"/>
    </row>
  </sheetData>
  <mergeCells count="27">
    <mergeCell ref="T88:U88"/>
    <mergeCell ref="S43:U44"/>
    <mergeCell ref="S49:T50"/>
    <mergeCell ref="V57:V58"/>
    <mergeCell ref="W57:W58"/>
    <mergeCell ref="Z57:Z58"/>
    <mergeCell ref="U65:U66"/>
    <mergeCell ref="V65:W66"/>
    <mergeCell ref="W36:X36"/>
    <mergeCell ref="Z36:Z38"/>
    <mergeCell ref="S14:AA15"/>
    <mergeCell ref="AA36:AA38"/>
    <mergeCell ref="W37:X38"/>
    <mergeCell ref="E40:F41"/>
    <mergeCell ref="S40:AA41"/>
    <mergeCell ref="S20:U21"/>
    <mergeCell ref="S27:T28"/>
    <mergeCell ref="W30:X31"/>
    <mergeCell ref="W32:X32"/>
    <mergeCell ref="Z32:Z34"/>
    <mergeCell ref="AA32:AA34"/>
    <mergeCell ref="W33:X34"/>
    <mergeCell ref="C16:D17"/>
    <mergeCell ref="B3:K3"/>
    <mergeCell ref="B4:K4"/>
    <mergeCell ref="C8:M9"/>
    <mergeCell ref="H12:P12"/>
  </mergeCells>
  <conditionalFormatting sqref="L18:L317">
    <cfRule type="dataBar" priority="6">
      <dataBar>
        <cfvo type="min"/>
        <cfvo type="max"/>
        <color rgb="FFFF555A"/>
      </dataBar>
    </cfRule>
  </conditionalFormatting>
  <conditionalFormatting sqref="L18:L317">
    <cfRule type="dataBar" priority="5">
      <dataBar>
        <cfvo type="min"/>
        <cfvo type="max"/>
        <color theme="5" tint="0.59999389629810485"/>
      </dataBar>
    </cfRule>
  </conditionalFormatting>
  <conditionalFormatting sqref="L18:L317">
    <cfRule type="dataBar" priority="4">
      <dataBar>
        <cfvo type="min"/>
        <cfvo type="max"/>
        <color theme="5" tint="0.39997558519241921"/>
      </dataBar>
    </cfRule>
  </conditionalFormatting>
  <conditionalFormatting sqref="M18:M317">
    <cfRule type="dataBar" priority="3">
      <dataBar>
        <cfvo type="min"/>
        <cfvo type="max"/>
        <color rgb="FF63C384"/>
      </dataBar>
    </cfRule>
  </conditionalFormatting>
  <conditionalFormatting sqref="M18:M317">
    <cfRule type="dataBar" priority="2">
      <dataBar>
        <cfvo type="min"/>
        <cfvo type="formula" val="$M$18&gt;$M$17"/>
        <color rgb="FF638EC6"/>
      </dataBar>
    </cfRule>
  </conditionalFormatting>
  <dataValidations count="4">
    <dataValidation type="list" allowBlank="1" showInputMessage="1" showErrorMessage="1" sqref="D21">
      <formula1>$C$64:$C$65</formula1>
    </dataValidation>
    <dataValidation type="list" allowBlank="1" showInputMessage="1" showErrorMessage="1" sqref="D19">
      <formula1>$C$48:$C$62</formula1>
    </dataValidation>
    <dataValidation type="list" allowBlank="1" showInputMessage="1" showErrorMessage="1" sqref="D20">
      <formula1>$C$48:$C$55</formula1>
    </dataValidation>
    <dataValidation type="list" allowBlank="1" showInputMessage="1" showErrorMessage="1" sqref="D23">
      <formula1>$C$67:$C$73</formula1>
    </dataValidation>
  </dataValidations>
  <hyperlinks>
    <hyperlink ref="C5" location="Índice!A1" display="Regresar"/>
  </hyperlinks>
  <pageMargins left="0.75" right="0.75" top="1" bottom="1" header="0" footer="0"/>
  <pageSetup paperSize="9" orientation="portrait" r:id="rId1"/>
  <headerFooter alignWithMargins="0"/>
  <drawing r:id="rId2"/>
  <legacyDrawing r:id="rId3"/>
  <oleObjects>
    <mc:AlternateContent xmlns:mc="http://schemas.openxmlformats.org/markup-compatibility/2006">
      <mc:Choice Requires="x14">
        <oleObject progId="Equation.3" shapeId="10241" r:id="rId4">
          <objectPr defaultSize="0" autoPict="0" r:id="rId5">
            <anchor moveWithCells="1">
              <from>
                <xdr:col>21</xdr:col>
                <xdr:colOff>219075</xdr:colOff>
                <xdr:row>17</xdr:row>
                <xdr:rowOff>161925</xdr:rowOff>
              </from>
              <to>
                <xdr:col>25</xdr:col>
                <xdr:colOff>676275</xdr:colOff>
                <xdr:row>24</xdr:row>
                <xdr:rowOff>28575</xdr:rowOff>
              </to>
            </anchor>
          </objectPr>
        </oleObject>
      </mc:Choice>
      <mc:Fallback>
        <oleObject progId="Equation.3" shapeId="10241" r:id="rId4"/>
      </mc:Fallback>
    </mc:AlternateContent>
  </oleObjec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Z462"/>
  <sheetViews>
    <sheetView showGridLines="0" showRowColHeaders="0" zoomScale="75" workbookViewId="0">
      <selection activeCell="D39" sqref="D39"/>
    </sheetView>
  </sheetViews>
  <sheetFormatPr baseColWidth="10" defaultRowHeight="12.75" x14ac:dyDescent="0.2"/>
  <cols>
    <col min="1" max="2" width="4.7109375" style="41" customWidth="1"/>
    <col min="3" max="3" width="29.42578125" style="41" customWidth="1"/>
    <col min="4" max="4" width="24.5703125" style="41" customWidth="1"/>
    <col min="5" max="5" width="18.5703125" style="41" customWidth="1"/>
    <col min="6" max="6" width="14.140625" style="41" bestFit="1" customWidth="1"/>
    <col min="7" max="7" width="14.140625" style="41" customWidth="1"/>
    <col min="8" max="8" width="19.28515625" style="45" customWidth="1"/>
    <col min="9" max="9" width="13.85546875" style="41" customWidth="1"/>
    <col min="10" max="10" width="14" style="41" customWidth="1"/>
    <col min="11" max="12" width="15.140625" style="41" customWidth="1"/>
    <col min="13" max="13" width="18.42578125" style="41" customWidth="1"/>
    <col min="14" max="14" width="6.85546875" style="41" customWidth="1"/>
    <col min="15" max="15" width="13.7109375" style="41" customWidth="1"/>
    <col min="16" max="18" width="11.42578125" style="41"/>
    <col min="19" max="20" width="12.140625" style="41" bestFit="1" customWidth="1"/>
    <col min="21" max="21" width="7.5703125" style="41" bestFit="1" customWidth="1"/>
    <col min="22" max="22" width="11.85546875" style="41" bestFit="1" customWidth="1"/>
    <col min="23" max="23" width="12.140625" style="41" bestFit="1" customWidth="1"/>
    <col min="24" max="24" width="6.42578125" style="41" customWidth="1"/>
    <col min="25" max="16384" width="11.42578125" style="41"/>
  </cols>
  <sheetData>
    <row r="1" spans="1:26" s="39" customFormat="1" ht="77.25" customHeight="1" x14ac:dyDescent="0.4">
      <c r="A1" s="38"/>
      <c r="B1" s="38"/>
      <c r="C1" s="38"/>
      <c r="D1" s="38"/>
      <c r="E1" s="157" t="s">
        <v>59</v>
      </c>
      <c r="F1" s="157"/>
      <c r="G1" s="157"/>
      <c r="H1" s="157"/>
      <c r="I1" s="157"/>
      <c r="J1" s="157"/>
      <c r="K1" s="157"/>
      <c r="L1" s="157"/>
      <c r="M1" s="157"/>
      <c r="N1" s="157"/>
      <c r="O1" s="157"/>
      <c r="P1" s="157"/>
      <c r="Q1" s="157"/>
    </row>
    <row r="2" spans="1:26" ht="21" x14ac:dyDescent="0.35">
      <c r="A2" s="38"/>
      <c r="B2" s="38"/>
      <c r="C2" s="38"/>
      <c r="D2" s="38"/>
      <c r="E2" s="40"/>
      <c r="F2" s="40"/>
      <c r="G2" s="40"/>
      <c r="H2" s="40"/>
      <c r="I2" s="40"/>
      <c r="J2" s="40"/>
      <c r="K2" s="40"/>
      <c r="L2" s="40"/>
      <c r="M2" s="40"/>
      <c r="N2" s="40"/>
      <c r="O2" s="40"/>
      <c r="P2" s="40"/>
      <c r="Q2" s="40"/>
    </row>
    <row r="3" spans="1:26" ht="28.5" x14ac:dyDescent="0.2">
      <c r="B3" s="161" t="s">
        <v>45</v>
      </c>
      <c r="C3" s="161"/>
      <c r="D3" s="161"/>
      <c r="E3" s="161"/>
      <c r="F3" s="161"/>
      <c r="G3" s="161"/>
      <c r="H3" s="161"/>
      <c r="I3" s="161"/>
      <c r="J3" s="161"/>
      <c r="K3" s="161"/>
      <c r="L3" s="161"/>
      <c r="M3" s="148"/>
      <c r="N3" s="148"/>
      <c r="O3" s="148"/>
      <c r="P3" s="42"/>
    </row>
    <row r="4" spans="1:26" ht="21" x14ac:dyDescent="0.2">
      <c r="B4" s="162" t="s">
        <v>64</v>
      </c>
      <c r="C4" s="162"/>
      <c r="D4" s="162"/>
      <c r="E4" s="162"/>
      <c r="F4" s="162"/>
      <c r="G4" s="162"/>
      <c r="H4" s="162"/>
      <c r="I4" s="162"/>
      <c r="J4" s="162"/>
      <c r="K4" s="162"/>
      <c r="L4" s="162"/>
      <c r="M4" s="43"/>
      <c r="N4" s="43"/>
      <c r="O4" s="43"/>
      <c r="P4" s="43"/>
    </row>
    <row r="5" spans="1:26" ht="21.75" customHeight="1" x14ac:dyDescent="0.2">
      <c r="C5" s="44" t="s">
        <v>65</v>
      </c>
    </row>
    <row r="7" spans="1:26" ht="13.5" thickBot="1" x14ac:dyDescent="0.25"/>
    <row r="8" spans="1:26" ht="36.75" customHeight="1" thickBot="1" x14ac:dyDescent="0.25">
      <c r="C8" s="158" t="s">
        <v>115</v>
      </c>
      <c r="D8" s="159"/>
      <c r="E8" s="159"/>
      <c r="F8" s="159"/>
      <c r="G8" s="159"/>
      <c r="H8" s="159"/>
      <c r="I8" s="159"/>
      <c r="J8" s="159"/>
      <c r="K8" s="160"/>
      <c r="L8" s="139"/>
    </row>
    <row r="10" spans="1:26" ht="21" x14ac:dyDescent="0.35">
      <c r="H10" s="178" t="str">
        <f>CONCATENATE("Tablas de amortización"," ",credito)</f>
        <v>Tablas de amortización Período de Gracia Parcial</v>
      </c>
      <c r="I10" s="178"/>
      <c r="J10" s="178"/>
      <c r="K10" s="178"/>
      <c r="L10" s="178"/>
      <c r="M10" s="178"/>
      <c r="N10" s="178"/>
      <c r="O10" s="178"/>
    </row>
    <row r="11" spans="1:26" ht="21.75" thickBot="1" x14ac:dyDescent="0.4">
      <c r="H11" s="102"/>
      <c r="I11" s="102"/>
      <c r="J11" s="102"/>
      <c r="K11" s="102"/>
      <c r="L11" s="102"/>
      <c r="M11" s="102"/>
      <c r="N11" s="102"/>
      <c r="O11" s="102"/>
    </row>
    <row r="12" spans="1:26" ht="30" x14ac:dyDescent="0.35">
      <c r="E12" s="141"/>
      <c r="H12" s="91"/>
      <c r="I12" s="104" t="s">
        <v>83</v>
      </c>
      <c r="J12" s="104" t="s">
        <v>84</v>
      </c>
      <c r="K12" s="104" t="s">
        <v>85</v>
      </c>
      <c r="L12" s="107"/>
      <c r="M12" s="91"/>
      <c r="N12" s="91"/>
      <c r="O12" s="91"/>
      <c r="R12" s="151" t="s">
        <v>91</v>
      </c>
      <c r="S12" s="151"/>
      <c r="T12" s="151"/>
      <c r="U12" s="151"/>
      <c r="V12" s="151"/>
      <c r="W12" s="151"/>
      <c r="X12" s="151"/>
      <c r="Y12" s="151"/>
      <c r="Z12" s="151"/>
    </row>
    <row r="13" spans="1:26" ht="21.75" thickBot="1" x14ac:dyDescent="0.4">
      <c r="E13" s="141"/>
      <c r="H13" s="90"/>
      <c r="I13" s="103">
        <f>SUM(I16:I315)</f>
        <v>5415.4987407094204</v>
      </c>
      <c r="J13" s="103">
        <f>SUM(J16:J315)</f>
        <v>415.4987407094157</v>
      </c>
      <c r="K13" s="103">
        <f>I13-J13</f>
        <v>5000.0000000000045</v>
      </c>
      <c r="L13" s="140"/>
      <c r="N13" s="91"/>
      <c r="O13" s="91"/>
      <c r="R13" s="152"/>
      <c r="S13" s="152"/>
      <c r="T13" s="152"/>
      <c r="U13" s="152"/>
      <c r="V13" s="152"/>
      <c r="W13" s="152"/>
      <c r="X13" s="152"/>
      <c r="Y13" s="152"/>
      <c r="Z13" s="152"/>
    </row>
    <row r="14" spans="1:26" ht="15.75" customHeight="1" thickBot="1" x14ac:dyDescent="0.3">
      <c r="C14" s="170" t="s">
        <v>46</v>
      </c>
      <c r="D14" s="171"/>
      <c r="E14" s="46"/>
      <c r="F14" s="46"/>
      <c r="G14" s="46"/>
      <c r="H14" s="47" t="s">
        <v>5</v>
      </c>
      <c r="I14" s="48" t="s">
        <v>3</v>
      </c>
      <c r="J14" s="48" t="s">
        <v>6</v>
      </c>
      <c r="K14" s="48" t="s">
        <v>7</v>
      </c>
      <c r="L14" s="48" t="s">
        <v>120</v>
      </c>
      <c r="M14" s="136" t="s">
        <v>121</v>
      </c>
      <c r="N14" s="135"/>
      <c r="O14" s="137" t="s">
        <v>10</v>
      </c>
      <c r="P14" s="143"/>
    </row>
    <row r="15" spans="1:26" ht="15.75" thickBot="1" x14ac:dyDescent="0.3">
      <c r="C15" s="172"/>
      <c r="D15" s="173"/>
      <c r="E15" s="46"/>
      <c r="F15" s="46"/>
      <c r="G15" s="46"/>
      <c r="H15" s="50">
        <v>0</v>
      </c>
      <c r="I15" s="51"/>
      <c r="J15" s="51"/>
      <c r="K15" s="51"/>
      <c r="L15" s="51">
        <f>+D25</f>
        <v>5000</v>
      </c>
      <c r="N15" s="51"/>
      <c r="O15" s="51">
        <f>+L15</f>
        <v>5000</v>
      </c>
      <c r="P15" s="142"/>
      <c r="R15" s="52" t="s">
        <v>56</v>
      </c>
      <c r="S15" s="53"/>
      <c r="T15" s="54">
        <f>+D32</f>
        <v>12</v>
      </c>
    </row>
    <row r="16" spans="1:26" ht="15" x14ac:dyDescent="0.25">
      <c r="C16" s="49"/>
      <c r="D16" s="55"/>
      <c r="E16" s="46"/>
      <c r="F16" s="46"/>
      <c r="G16" s="46"/>
      <c r="H16" s="56">
        <v>1</v>
      </c>
      <c r="I16" s="57">
        <f t="shared" ref="I16:I79" si="0">IF(H16&lt;=$D$32,(IF(H16&lt;=$D$20,IF(credito="Período de Gracia Total",0,$L$15*$D$27/$D$23),(IF(credito="Período de Gracia Parcial",$L$15/PV(($D$27/$D$23),$D$32-$D$20,-1),$L$15*(1+($D$27/$D$23))^$D$20/PV(($D$27/$D$23),$D$32-$D$20,-1))))),"")</f>
        <v>451.29156172578507</v>
      </c>
      <c r="J16" s="105">
        <f t="shared" ref="J16:J79" si="1">IF(H16&lt;=$D$32,IF(H16&lt;=$D$20,IF(credito="Período de Gracia Total",0,L$15*$D$27/$D$23),L15*$D$27/$D$23),"")</f>
        <v>62.5</v>
      </c>
      <c r="K16" s="105">
        <f>IF(H16&lt;=$T$15,I16-J16," ")</f>
        <v>388.79156172578507</v>
      </c>
      <c r="L16" s="105">
        <f t="shared" ref="L16:L79" si="2">IF(H16&lt;=$D$32,IF(H16&lt;=$D$20,IF(credito="Período de Gracia Total",$L$15*(1+($D$27/$D$23))^H16,L15-K16),L15-K16),"")</f>
        <v>4611.208438274215</v>
      </c>
      <c r="M16" s="57">
        <f>IF(H16&lt;=$D$32,M15+K16,"")</f>
        <v>388.79156172578507</v>
      </c>
      <c r="N16" s="51"/>
      <c r="O16" s="57">
        <f>IF(H16&lt;=$T$15,-I16," ")</f>
        <v>-451.29156172578507</v>
      </c>
      <c r="P16" s="142"/>
    </row>
    <row r="17" spans="1:26" ht="30" x14ac:dyDescent="0.25">
      <c r="C17" s="80" t="s">
        <v>48</v>
      </c>
      <c r="D17" s="81" t="s">
        <v>69</v>
      </c>
      <c r="E17" s="46"/>
      <c r="F17" s="46"/>
      <c r="G17" s="46"/>
      <c r="H17" s="50">
        <f>IF($H16&gt;=$T$15," ",H16+1)</f>
        <v>2</v>
      </c>
      <c r="I17" s="51">
        <f t="shared" si="0"/>
        <v>451.29156172578507</v>
      </c>
      <c r="J17" s="106">
        <f t="shared" si="1"/>
        <v>57.640105478427692</v>
      </c>
      <c r="K17" s="106">
        <f t="shared" ref="K17:K80" si="3">IF(H17&lt;=$T$15,I17-J17," ")</f>
        <v>393.65145624735737</v>
      </c>
      <c r="L17" s="106">
        <f t="shared" si="2"/>
        <v>4217.5569820268574</v>
      </c>
      <c r="M17" s="51">
        <f t="shared" ref="M17:M80" si="4">IF(H17&lt;=$D$32,M16+K17,"")</f>
        <v>782.44301797314245</v>
      </c>
      <c r="N17" s="51"/>
      <c r="O17" s="51">
        <f t="shared" ref="O17:O80" si="5">IF(H17&lt;=$T$15,-I17," ")</f>
        <v>-451.29156172578507</v>
      </c>
      <c r="P17" s="142"/>
    </row>
    <row r="18" spans="1:26" ht="15" x14ac:dyDescent="0.25">
      <c r="C18" s="58"/>
      <c r="D18" s="55"/>
      <c r="E18" s="46"/>
      <c r="F18" s="46"/>
      <c r="G18" s="46"/>
      <c r="H18" s="50">
        <f t="shared" ref="H18:H81" si="6">IF($H17&gt;=$T$15," ",H17+1)</f>
        <v>3</v>
      </c>
      <c r="I18" s="51">
        <f t="shared" si="0"/>
        <v>451.29156172578507</v>
      </c>
      <c r="J18" s="106">
        <f t="shared" si="1"/>
        <v>52.719462275335722</v>
      </c>
      <c r="K18" s="106">
        <f t="shared" si="3"/>
        <v>398.57209945044934</v>
      </c>
      <c r="L18" s="106">
        <f t="shared" si="2"/>
        <v>3818.9848825764079</v>
      </c>
      <c r="M18" s="51">
        <f t="shared" si="4"/>
        <v>1181.0151174235918</v>
      </c>
      <c r="N18" s="51"/>
      <c r="O18" s="51">
        <f t="shared" si="5"/>
        <v>-451.29156172578507</v>
      </c>
      <c r="P18" s="142"/>
      <c r="R18" s="163" t="s">
        <v>86</v>
      </c>
      <c r="S18" s="163"/>
      <c r="T18" s="163"/>
    </row>
    <row r="19" spans="1:26" ht="15" x14ac:dyDescent="0.25">
      <c r="C19" s="80" t="s">
        <v>116</v>
      </c>
      <c r="D19" s="81" t="s">
        <v>119</v>
      </c>
      <c r="E19" s="46"/>
      <c r="F19" s="46"/>
      <c r="G19" s="46"/>
      <c r="H19" s="50">
        <f t="shared" si="6"/>
        <v>4</v>
      </c>
      <c r="I19" s="51">
        <f t="shared" si="0"/>
        <v>451.29156172578507</v>
      </c>
      <c r="J19" s="106">
        <f t="shared" si="1"/>
        <v>47.737311032205099</v>
      </c>
      <c r="K19" s="106">
        <f t="shared" si="3"/>
        <v>403.55425069358</v>
      </c>
      <c r="L19" s="106">
        <f t="shared" si="2"/>
        <v>3415.430631882828</v>
      </c>
      <c r="M19" s="51">
        <f t="shared" si="4"/>
        <v>1584.569368117172</v>
      </c>
      <c r="N19" s="51"/>
      <c r="O19" s="51">
        <f t="shared" si="5"/>
        <v>-451.29156172578507</v>
      </c>
      <c r="P19" s="142"/>
      <c r="Q19" s="62"/>
      <c r="R19" s="163"/>
      <c r="S19" s="163"/>
      <c r="T19" s="163"/>
    </row>
    <row r="20" spans="1:26" s="62" customFormat="1" ht="15" x14ac:dyDescent="0.25">
      <c r="A20" s="41"/>
      <c r="B20" s="41"/>
      <c r="C20" s="80" t="s">
        <v>117</v>
      </c>
      <c r="D20" s="81">
        <v>0</v>
      </c>
      <c r="E20" s="46"/>
      <c r="F20" s="46"/>
      <c r="G20" s="46"/>
      <c r="H20" s="50">
        <f t="shared" si="6"/>
        <v>5</v>
      </c>
      <c r="I20" s="51">
        <f t="shared" si="0"/>
        <v>451.29156172578507</v>
      </c>
      <c r="J20" s="106">
        <f t="shared" si="1"/>
        <v>42.692882898535345</v>
      </c>
      <c r="K20" s="106">
        <f t="shared" si="3"/>
        <v>408.59867882724973</v>
      </c>
      <c r="L20" s="106">
        <f t="shared" si="2"/>
        <v>3006.8319530555782</v>
      </c>
      <c r="M20" s="51">
        <f t="shared" si="4"/>
        <v>1993.1680469444218</v>
      </c>
      <c r="N20" s="51"/>
      <c r="O20" s="51">
        <f t="shared" si="5"/>
        <v>-451.29156172578507</v>
      </c>
      <c r="P20" s="142"/>
      <c r="Q20" s="41"/>
      <c r="R20" s="41"/>
    </row>
    <row r="21" spans="1:26" ht="15" x14ac:dyDescent="0.25">
      <c r="C21" s="79"/>
      <c r="D21" s="55"/>
      <c r="E21" s="46"/>
      <c r="F21" s="46"/>
      <c r="G21" s="46"/>
      <c r="H21" s="50">
        <f t="shared" si="6"/>
        <v>6</v>
      </c>
      <c r="I21" s="51">
        <f t="shared" si="0"/>
        <v>451.29156172578507</v>
      </c>
      <c r="J21" s="106">
        <f t="shared" si="1"/>
        <v>37.585399413194729</v>
      </c>
      <c r="K21" s="106">
        <f t="shared" si="3"/>
        <v>413.70616231259032</v>
      </c>
      <c r="L21" s="106">
        <f t="shared" si="2"/>
        <v>2593.1257907429881</v>
      </c>
      <c r="M21" s="51">
        <f t="shared" si="4"/>
        <v>2406.8742092570119</v>
      </c>
      <c r="N21" s="51"/>
      <c r="O21" s="51">
        <f t="shared" si="5"/>
        <v>-451.29156172578507</v>
      </c>
      <c r="P21" s="142"/>
      <c r="Q21" s="67"/>
      <c r="R21" s="67"/>
    </row>
    <row r="22" spans="1:26" s="67" customFormat="1" ht="15" x14ac:dyDescent="0.25">
      <c r="A22" s="41"/>
      <c r="B22" s="41"/>
      <c r="C22" s="80" t="s">
        <v>1</v>
      </c>
      <c r="D22" s="81" t="s">
        <v>77</v>
      </c>
      <c r="E22" s="46"/>
      <c r="F22" s="46"/>
      <c r="G22" s="46"/>
      <c r="H22" s="50">
        <f t="shared" si="6"/>
        <v>7</v>
      </c>
      <c r="I22" s="51">
        <f t="shared" si="0"/>
        <v>451.29156172578507</v>
      </c>
      <c r="J22" s="106">
        <f t="shared" si="1"/>
        <v>32.414072384287351</v>
      </c>
      <c r="K22" s="106">
        <f t="shared" si="3"/>
        <v>418.87748934149772</v>
      </c>
      <c r="L22" s="106">
        <f t="shared" si="2"/>
        <v>2174.2483014014906</v>
      </c>
      <c r="M22" s="51">
        <f t="shared" si="4"/>
        <v>2825.7516985985094</v>
      </c>
      <c r="N22" s="51"/>
      <c r="O22" s="51">
        <f t="shared" si="5"/>
        <v>-451.29156172578507</v>
      </c>
      <c r="P22" s="142"/>
    </row>
    <row r="23" spans="1:26" s="67" customFormat="1" ht="15" x14ac:dyDescent="0.25">
      <c r="A23" s="41"/>
      <c r="B23" s="41"/>
      <c r="C23" s="80"/>
      <c r="D23" s="81">
        <f>IF(D22="Anual",1,IF(D22="Semestral",2,IF(D22="Cuatrimestral",3,IF(D22="Trimestral",4,IF(D22="Bimensual",6,IF(D22="Mensual",12,IF(D22="Quincenal",24)))))))</f>
        <v>12</v>
      </c>
      <c r="E23" s="46"/>
      <c r="F23" s="46"/>
      <c r="G23" s="46"/>
      <c r="H23" s="50">
        <f t="shared" si="6"/>
        <v>8</v>
      </c>
      <c r="I23" s="51">
        <f t="shared" si="0"/>
        <v>451.29156172578507</v>
      </c>
      <c r="J23" s="106">
        <f t="shared" si="1"/>
        <v>27.178103767518632</v>
      </c>
      <c r="K23" s="106">
        <f t="shared" si="3"/>
        <v>424.11345795826645</v>
      </c>
      <c r="L23" s="106">
        <f t="shared" si="2"/>
        <v>1750.1348434432241</v>
      </c>
      <c r="M23" s="51">
        <f t="shared" si="4"/>
        <v>3249.8651565567757</v>
      </c>
      <c r="N23" s="51"/>
      <c r="O23" s="51">
        <f t="shared" si="5"/>
        <v>-451.29156172578507</v>
      </c>
      <c r="P23" s="142"/>
    </row>
    <row r="24" spans="1:26" s="67" customFormat="1" ht="15" x14ac:dyDescent="0.25">
      <c r="A24" s="41"/>
      <c r="B24" s="41"/>
      <c r="C24" s="58"/>
      <c r="D24" s="55"/>
      <c r="E24" s="46"/>
      <c r="F24" s="46"/>
      <c r="G24" s="46"/>
      <c r="H24" s="50">
        <f t="shared" si="6"/>
        <v>9</v>
      </c>
      <c r="I24" s="51">
        <f t="shared" si="0"/>
        <v>451.29156172578507</v>
      </c>
      <c r="J24" s="106">
        <f t="shared" si="1"/>
        <v>21.876685543040299</v>
      </c>
      <c r="K24" s="106">
        <f t="shared" si="3"/>
        <v>429.41487618274476</v>
      </c>
      <c r="L24" s="106">
        <f t="shared" si="2"/>
        <v>1320.7199672604793</v>
      </c>
      <c r="M24" s="51">
        <f t="shared" si="4"/>
        <v>3679.2800327395203</v>
      </c>
      <c r="N24" s="51"/>
      <c r="O24" s="51">
        <f t="shared" si="5"/>
        <v>-451.29156172578507</v>
      </c>
      <c r="P24" s="142"/>
      <c r="Q24" s="41"/>
      <c r="R24" s="41"/>
    </row>
    <row r="25" spans="1:26" ht="15" x14ac:dyDescent="0.25">
      <c r="C25" s="96" t="s">
        <v>26</v>
      </c>
      <c r="D25" s="97">
        <v>5000</v>
      </c>
      <c r="E25" s="46"/>
      <c r="F25" s="46"/>
      <c r="G25" s="46"/>
      <c r="H25" s="50">
        <f t="shared" si="6"/>
        <v>10</v>
      </c>
      <c r="I25" s="51">
        <f t="shared" si="0"/>
        <v>451.29156172578507</v>
      </c>
      <c r="J25" s="106">
        <f t="shared" si="1"/>
        <v>16.508999590755991</v>
      </c>
      <c r="K25" s="106">
        <f t="shared" si="3"/>
        <v>434.78256213502908</v>
      </c>
      <c r="L25" s="106">
        <f t="shared" si="2"/>
        <v>885.93740512545014</v>
      </c>
      <c r="M25" s="51">
        <f t="shared" si="4"/>
        <v>4114.0625948745492</v>
      </c>
      <c r="N25" s="51"/>
      <c r="O25" s="51">
        <f t="shared" si="5"/>
        <v>-451.29156172578507</v>
      </c>
      <c r="P25" s="142"/>
      <c r="R25" s="164" t="s">
        <v>87</v>
      </c>
      <c r="S25" s="164"/>
    </row>
    <row r="26" spans="1:26" ht="15" x14ac:dyDescent="0.25">
      <c r="C26" s="98"/>
      <c r="D26" s="99"/>
      <c r="E26" s="46"/>
      <c r="F26" s="46"/>
      <c r="G26" s="46"/>
      <c r="H26" s="50">
        <f t="shared" si="6"/>
        <v>11</v>
      </c>
      <c r="I26" s="51">
        <f t="shared" si="0"/>
        <v>451.29156172578507</v>
      </c>
      <c r="J26" s="106">
        <f t="shared" si="1"/>
        <v>11.074217564068126</v>
      </c>
      <c r="K26" s="106">
        <f t="shared" si="3"/>
        <v>440.21734416171694</v>
      </c>
      <c r="L26" s="106">
        <f t="shared" si="2"/>
        <v>445.7200609637332</v>
      </c>
      <c r="M26" s="51">
        <f t="shared" si="4"/>
        <v>4554.2799390362661</v>
      </c>
      <c r="N26" s="51"/>
      <c r="O26" s="51">
        <f t="shared" si="5"/>
        <v>-451.29156172578507</v>
      </c>
      <c r="P26" s="142"/>
      <c r="R26" s="164"/>
      <c r="S26" s="164"/>
    </row>
    <row r="27" spans="1:26" ht="15" x14ac:dyDescent="0.25">
      <c r="C27" s="100" t="s">
        <v>19</v>
      </c>
      <c r="D27" s="101">
        <v>0.15</v>
      </c>
      <c r="E27" s="144"/>
      <c r="F27" s="46"/>
      <c r="G27" s="46"/>
      <c r="H27" s="50">
        <f t="shared" si="6"/>
        <v>12</v>
      </c>
      <c r="I27" s="51">
        <f t="shared" si="0"/>
        <v>451.29156172578507</v>
      </c>
      <c r="J27" s="106">
        <f t="shared" si="1"/>
        <v>5.5715007620466643</v>
      </c>
      <c r="K27" s="106">
        <f t="shared" si="3"/>
        <v>445.72006096373843</v>
      </c>
      <c r="L27" s="106">
        <f t="shared" si="2"/>
        <v>-5.2295945351943374E-12</v>
      </c>
      <c r="M27" s="51">
        <f t="shared" si="4"/>
        <v>5000.0000000000045</v>
      </c>
      <c r="N27" s="51"/>
      <c r="O27" s="51">
        <f t="shared" si="5"/>
        <v>-451.29156172578507</v>
      </c>
      <c r="P27" s="142"/>
    </row>
    <row r="28" spans="1:26" ht="15" x14ac:dyDescent="0.25">
      <c r="C28" s="60"/>
      <c r="D28" s="61"/>
      <c r="E28" s="46"/>
      <c r="F28" s="46"/>
      <c r="G28" s="46"/>
      <c r="H28" s="50" t="str">
        <f t="shared" si="6"/>
        <v xml:space="preserve"> </v>
      </c>
      <c r="I28" s="51" t="str">
        <f t="shared" si="0"/>
        <v/>
      </c>
      <c r="J28" s="106" t="str">
        <f t="shared" si="1"/>
        <v/>
      </c>
      <c r="K28" s="106" t="str">
        <f t="shared" si="3"/>
        <v xml:space="preserve"> </v>
      </c>
      <c r="L28" s="106" t="str">
        <f t="shared" si="2"/>
        <v/>
      </c>
      <c r="M28" s="51" t="str">
        <f t="shared" si="4"/>
        <v/>
      </c>
      <c r="N28" s="51"/>
      <c r="O28" s="51" t="str">
        <f t="shared" si="5"/>
        <v xml:space="preserve"> </v>
      </c>
      <c r="V28" s="165" t="s">
        <v>88</v>
      </c>
      <c r="W28" s="165"/>
    </row>
    <row r="29" spans="1:26" ht="15.75" thickBot="1" x14ac:dyDescent="0.3">
      <c r="A29" s="62"/>
      <c r="B29" s="62"/>
      <c r="C29" s="59" t="s">
        <v>47</v>
      </c>
      <c r="D29" s="84">
        <v>1</v>
      </c>
      <c r="E29" s="65"/>
      <c r="F29" s="65"/>
      <c r="G29" s="65"/>
      <c r="H29" s="50" t="str">
        <f t="shared" si="6"/>
        <v xml:space="preserve"> </v>
      </c>
      <c r="I29" s="51" t="str">
        <f t="shared" si="0"/>
        <v/>
      </c>
      <c r="J29" s="106" t="str">
        <f t="shared" si="1"/>
        <v/>
      </c>
      <c r="K29" s="106" t="str">
        <f t="shared" si="3"/>
        <v xml:space="preserve"> </v>
      </c>
      <c r="L29" s="106" t="str">
        <f t="shared" si="2"/>
        <v/>
      </c>
      <c r="M29" s="51" t="str">
        <f t="shared" si="4"/>
        <v/>
      </c>
      <c r="N29" s="51"/>
      <c r="O29" s="51" t="str">
        <f t="shared" si="5"/>
        <v xml:space="preserve"> </v>
      </c>
      <c r="V29" s="165"/>
      <c r="W29" s="165"/>
    </row>
    <row r="30" spans="1:26" ht="15" customHeight="1" x14ac:dyDescent="0.25">
      <c r="C30" s="60" t="s">
        <v>25</v>
      </c>
      <c r="D30" s="66">
        <f>+D29*360</f>
        <v>360</v>
      </c>
      <c r="E30" s="46"/>
      <c r="F30" s="46"/>
      <c r="G30" s="46"/>
      <c r="H30" s="50" t="str">
        <f t="shared" si="6"/>
        <v xml:space="preserve"> </v>
      </c>
      <c r="I30" s="51" t="str">
        <f t="shared" si="0"/>
        <v/>
      </c>
      <c r="J30" s="106" t="str">
        <f t="shared" si="1"/>
        <v/>
      </c>
      <c r="K30" s="106" t="str">
        <f t="shared" si="3"/>
        <v xml:space="preserve"> </v>
      </c>
      <c r="L30" s="106" t="str">
        <f t="shared" si="2"/>
        <v/>
      </c>
      <c r="M30" s="51" t="str">
        <f t="shared" si="4"/>
        <v/>
      </c>
      <c r="N30" s="51"/>
      <c r="O30" s="51" t="str">
        <f t="shared" si="5"/>
        <v xml:space="preserve"> </v>
      </c>
      <c r="V30" s="188" t="s">
        <v>11</v>
      </c>
      <c r="W30" s="189"/>
      <c r="Y30" s="179" t="s">
        <v>11</v>
      </c>
      <c r="Z30" s="182">
        <f>IRR(O15:O313,)</f>
        <v>1.2499999997151345E-2</v>
      </c>
    </row>
    <row r="31" spans="1:26" ht="15.75" customHeight="1" x14ac:dyDescent="0.25">
      <c r="A31" s="67"/>
      <c r="B31" s="67"/>
      <c r="C31" s="60" t="s">
        <v>57</v>
      </c>
      <c r="D31" s="66">
        <f>IF(D22="Anual",360,IF(D22="Semestral",180,IF(D22="Cuatrimestral",120,IF(D22="Trimestral",90,IF(D22="Bimensual",60,IF(D22="Mensual",30,IF(D22="Quincenal",15)))))))</f>
        <v>30</v>
      </c>
      <c r="E31" s="95"/>
      <c r="F31" s="68"/>
      <c r="G31" s="68"/>
      <c r="H31" s="50" t="str">
        <f t="shared" si="6"/>
        <v xml:space="preserve"> </v>
      </c>
      <c r="I31" s="51" t="str">
        <f t="shared" si="0"/>
        <v/>
      </c>
      <c r="J31" s="106" t="str">
        <f t="shared" si="1"/>
        <v/>
      </c>
      <c r="K31" s="106" t="str">
        <f t="shared" si="3"/>
        <v xml:space="preserve"> </v>
      </c>
      <c r="L31" s="106" t="str">
        <f t="shared" si="2"/>
        <v/>
      </c>
      <c r="M31" s="51" t="str">
        <f t="shared" si="4"/>
        <v/>
      </c>
      <c r="N31" s="51"/>
      <c r="O31" s="51" t="str">
        <f t="shared" si="5"/>
        <v xml:space="preserve"> </v>
      </c>
      <c r="V31" s="166" t="s">
        <v>89</v>
      </c>
      <c r="W31" s="167"/>
      <c r="Y31" s="180"/>
      <c r="Z31" s="183"/>
    </row>
    <row r="32" spans="1:26" ht="15.75" thickBot="1" x14ac:dyDescent="0.3">
      <c r="A32" s="67"/>
      <c r="B32" s="67"/>
      <c r="C32" s="85" t="s">
        <v>58</v>
      </c>
      <c r="D32" s="86">
        <f>IF(D22="Anual",D29*1,IF(D22="Semestral",D29*2,IF(D22="Cuatrimestral",D29*3,IF(D22="Trimestral",D29*4,IF(D22="Bimensual",D29*6,IF(D22="Mensual",D29*12,IF(D22="Quincenal",D29*24)))))))</f>
        <v>12</v>
      </c>
      <c r="E32" s="68"/>
      <c r="F32" s="68"/>
      <c r="G32" s="68"/>
      <c r="H32" s="50" t="str">
        <f t="shared" si="6"/>
        <v xml:space="preserve"> </v>
      </c>
      <c r="I32" s="51" t="str">
        <f t="shared" si="0"/>
        <v/>
      </c>
      <c r="J32" s="106" t="str">
        <f t="shared" si="1"/>
        <v/>
      </c>
      <c r="K32" s="106" t="str">
        <f t="shared" si="3"/>
        <v xml:space="preserve"> </v>
      </c>
      <c r="L32" s="106" t="str">
        <f t="shared" si="2"/>
        <v/>
      </c>
      <c r="M32" s="51" t="str">
        <f t="shared" si="4"/>
        <v/>
      </c>
      <c r="N32" s="51"/>
      <c r="O32" s="51" t="str">
        <f t="shared" si="5"/>
        <v xml:space="preserve"> </v>
      </c>
      <c r="V32" s="168"/>
      <c r="W32" s="169"/>
      <c r="Y32" s="181"/>
      <c r="Z32" s="184"/>
    </row>
    <row r="33" spans="1:26" ht="15.75" thickBot="1" x14ac:dyDescent="0.3">
      <c r="A33" s="67"/>
      <c r="B33" s="67"/>
      <c r="E33" s="68"/>
      <c r="F33" s="68"/>
      <c r="G33" s="68"/>
      <c r="H33" s="50" t="str">
        <f t="shared" si="6"/>
        <v xml:space="preserve"> </v>
      </c>
      <c r="I33" s="51" t="str">
        <f t="shared" si="0"/>
        <v/>
      </c>
      <c r="J33" s="106" t="str">
        <f t="shared" si="1"/>
        <v/>
      </c>
      <c r="K33" s="106" t="str">
        <f t="shared" si="3"/>
        <v xml:space="preserve"> </v>
      </c>
      <c r="L33" s="106" t="str">
        <f t="shared" si="2"/>
        <v/>
      </c>
      <c r="M33" s="51" t="str">
        <f t="shared" si="4"/>
        <v/>
      </c>
      <c r="N33" s="51"/>
      <c r="O33" s="51" t="str">
        <f t="shared" si="5"/>
        <v xml:space="preserve"> </v>
      </c>
      <c r="Z33" s="128"/>
    </row>
    <row r="34" spans="1:26" ht="15" customHeight="1" x14ac:dyDescent="0.25">
      <c r="C34" s="63" t="s">
        <v>17</v>
      </c>
      <c r="D34" s="64" t="s">
        <v>18</v>
      </c>
      <c r="E34" s="82"/>
      <c r="F34" s="46"/>
      <c r="G34" s="46"/>
      <c r="H34" s="50" t="str">
        <f t="shared" si="6"/>
        <v xml:space="preserve"> </v>
      </c>
      <c r="I34" s="51" t="str">
        <f t="shared" si="0"/>
        <v/>
      </c>
      <c r="J34" s="106" t="str">
        <f t="shared" si="1"/>
        <v/>
      </c>
      <c r="K34" s="106" t="str">
        <f t="shared" si="3"/>
        <v xml:space="preserve"> </v>
      </c>
      <c r="L34" s="106" t="str">
        <f t="shared" si="2"/>
        <v/>
      </c>
      <c r="M34" s="51" t="str">
        <f t="shared" si="4"/>
        <v/>
      </c>
      <c r="N34" s="51"/>
      <c r="O34" s="51" t="str">
        <f t="shared" si="5"/>
        <v xml:space="preserve"> </v>
      </c>
      <c r="V34" s="188" t="s">
        <v>12</v>
      </c>
      <c r="W34" s="189"/>
      <c r="Y34" s="179" t="s">
        <v>12</v>
      </c>
      <c r="Z34" s="182">
        <f>+Z30*360/$D$31</f>
        <v>0.14999999996581614</v>
      </c>
    </row>
    <row r="35" spans="1:26" ht="15" customHeight="1" x14ac:dyDescent="0.25">
      <c r="C35" s="69"/>
      <c r="D35" s="70"/>
      <c r="F35" s="46"/>
      <c r="G35" s="46"/>
      <c r="H35" s="50" t="str">
        <f t="shared" si="6"/>
        <v xml:space="preserve"> </v>
      </c>
      <c r="I35" s="51" t="str">
        <f t="shared" si="0"/>
        <v/>
      </c>
      <c r="J35" s="106" t="str">
        <f t="shared" si="1"/>
        <v/>
      </c>
      <c r="K35" s="106" t="str">
        <f t="shared" si="3"/>
        <v xml:space="preserve"> </v>
      </c>
      <c r="L35" s="106" t="str">
        <f t="shared" si="2"/>
        <v/>
      </c>
      <c r="M35" s="51" t="str">
        <f t="shared" si="4"/>
        <v/>
      </c>
      <c r="N35" s="51"/>
      <c r="O35" s="51" t="str">
        <f t="shared" si="5"/>
        <v xml:space="preserve"> </v>
      </c>
      <c r="V35" s="166" t="s">
        <v>90</v>
      </c>
      <c r="W35" s="167"/>
      <c r="Y35" s="180"/>
      <c r="Z35" s="183"/>
    </row>
    <row r="36" spans="1:26" ht="15.75" customHeight="1" thickBot="1" x14ac:dyDescent="0.3">
      <c r="E36" s="46"/>
      <c r="F36" s="46"/>
      <c r="G36" s="46"/>
      <c r="H36" s="50" t="str">
        <f t="shared" si="6"/>
        <v xml:space="preserve"> </v>
      </c>
      <c r="I36" s="51" t="str">
        <f t="shared" si="0"/>
        <v/>
      </c>
      <c r="J36" s="106" t="str">
        <f t="shared" si="1"/>
        <v/>
      </c>
      <c r="K36" s="106" t="str">
        <f t="shared" si="3"/>
        <v xml:space="preserve"> </v>
      </c>
      <c r="L36" s="106" t="str">
        <f t="shared" si="2"/>
        <v/>
      </c>
      <c r="M36" s="51" t="str">
        <f t="shared" si="4"/>
        <v/>
      </c>
      <c r="N36" s="51"/>
      <c r="O36" s="51" t="str">
        <f t="shared" si="5"/>
        <v xml:space="preserve"> </v>
      </c>
      <c r="V36" s="168"/>
      <c r="W36" s="169"/>
      <c r="Y36" s="181"/>
      <c r="Z36" s="184"/>
    </row>
    <row r="37" spans="1:26" ht="18.75" x14ac:dyDescent="0.25">
      <c r="C37" s="88" t="s">
        <v>13</v>
      </c>
      <c r="D37" s="126">
        <f>+Z34</f>
        <v>0.14999999996581614</v>
      </c>
      <c r="E37" s="174" t="str">
        <f>IF(D38&gt;D39,"Excede la Máxima, considerar bajar la tasa nominal", "Esta dentro del límite")</f>
        <v>Excede la Máxima, considerar bajar la tasa nominal</v>
      </c>
      <c r="F37" s="175"/>
      <c r="G37" s="46"/>
      <c r="H37" s="50" t="str">
        <f t="shared" si="6"/>
        <v xml:space="preserve"> </v>
      </c>
      <c r="I37" s="51" t="str">
        <f t="shared" si="0"/>
        <v/>
      </c>
      <c r="J37" s="106" t="str">
        <f t="shared" si="1"/>
        <v/>
      </c>
      <c r="K37" s="106" t="str">
        <f t="shared" si="3"/>
        <v xml:space="preserve"> </v>
      </c>
      <c r="L37" s="106" t="str">
        <f t="shared" si="2"/>
        <v/>
      </c>
      <c r="M37" s="51" t="str">
        <f t="shared" si="4"/>
        <v/>
      </c>
      <c r="N37" s="51"/>
      <c r="O37" s="51" t="str">
        <f t="shared" si="5"/>
        <v xml:space="preserve"> </v>
      </c>
      <c r="V37" s="108"/>
      <c r="W37" s="108"/>
      <c r="Y37" s="107"/>
      <c r="Z37" s="109"/>
    </row>
    <row r="38" spans="1:26" ht="15.75" thickBot="1" x14ac:dyDescent="0.3">
      <c r="C38" s="89" t="s">
        <v>14</v>
      </c>
      <c r="D38" s="127">
        <f>+U63</f>
        <v>0.16075451768380966</v>
      </c>
      <c r="E38" s="176"/>
      <c r="F38" s="177"/>
      <c r="G38" s="71"/>
      <c r="H38" s="50" t="str">
        <f t="shared" si="6"/>
        <v xml:space="preserve"> </v>
      </c>
      <c r="I38" s="51" t="str">
        <f t="shared" si="0"/>
        <v/>
      </c>
      <c r="J38" s="106" t="str">
        <f t="shared" si="1"/>
        <v/>
      </c>
      <c r="K38" s="106" t="str">
        <f t="shared" si="3"/>
        <v xml:space="preserve"> </v>
      </c>
      <c r="L38" s="106" t="str">
        <f t="shared" si="2"/>
        <v/>
      </c>
      <c r="M38" s="51" t="str">
        <f t="shared" si="4"/>
        <v/>
      </c>
      <c r="N38" s="51"/>
      <c r="O38" s="51" t="str">
        <f t="shared" si="5"/>
        <v xml:space="preserve"> </v>
      </c>
      <c r="R38" s="151" t="s">
        <v>92</v>
      </c>
      <c r="S38" s="151"/>
      <c r="T38" s="151"/>
      <c r="U38" s="151"/>
      <c r="V38" s="151"/>
      <c r="W38" s="151"/>
      <c r="X38" s="151"/>
      <c r="Y38" s="151"/>
      <c r="Z38" s="151"/>
    </row>
    <row r="39" spans="1:26" ht="18.75" customHeight="1" thickBot="1" x14ac:dyDescent="0.3">
      <c r="C39" s="72" t="s">
        <v>55</v>
      </c>
      <c r="D39" s="73">
        <f>IF(D17="Productivo Corporativo",9.33%,IF(D17="Productivo Empresarial",10.21%,IF(D17="Productivo PYMES",11.83%,IF(D17="Comercial Ordinario",11.83%,IF(D17="Comercial Prioritario Corporativo",9.33%,IF(D17="Comercial Prioritario Empresarial",10.21%,IF(D17="Comercial Prioritario PYMES",11.83%,IF(D17="Consumo Ordinario",17.3%,IF(D17="Consumo Prioritario",17.3%,IF(D17="Educativo",9.5%,IF(D17="Vivienda de Interés Público",4.99%,IF(D17="Inmobiliario",11.33%,IF(D17="Microcrédito Minorista",30.5%,IF(D17="Microcrédito Acumulación Simple",27.5%,IF(D17="Microcrédito Acumulación Ampliada",25.5%)))))))))))))))</f>
        <v>0.1183</v>
      </c>
      <c r="E39" s="46"/>
      <c r="F39" s="46"/>
      <c r="G39" s="46"/>
      <c r="H39" s="50" t="str">
        <f t="shared" si="6"/>
        <v xml:space="preserve"> </v>
      </c>
      <c r="I39" s="51" t="str">
        <f t="shared" si="0"/>
        <v/>
      </c>
      <c r="J39" s="106" t="str">
        <f t="shared" si="1"/>
        <v/>
      </c>
      <c r="K39" s="106" t="str">
        <f t="shared" si="3"/>
        <v xml:space="preserve"> </v>
      </c>
      <c r="L39" s="106" t="str">
        <f t="shared" si="2"/>
        <v/>
      </c>
      <c r="M39" s="51" t="str">
        <f t="shared" si="4"/>
        <v/>
      </c>
      <c r="N39" s="51"/>
      <c r="O39" s="51" t="str">
        <f t="shared" si="5"/>
        <v xml:space="preserve"> </v>
      </c>
      <c r="R39" s="152"/>
      <c r="S39" s="152"/>
      <c r="T39" s="152"/>
      <c r="U39" s="152"/>
      <c r="V39" s="152"/>
      <c r="W39" s="152"/>
      <c r="X39" s="152"/>
      <c r="Y39" s="152"/>
      <c r="Z39" s="152"/>
    </row>
    <row r="40" spans="1:26" ht="18.75" x14ac:dyDescent="0.25">
      <c r="C40" s="74" t="s">
        <v>37</v>
      </c>
      <c r="D40" s="46"/>
      <c r="E40" s="46"/>
      <c r="F40" s="46"/>
      <c r="G40" s="87"/>
      <c r="H40" s="50" t="str">
        <f t="shared" si="6"/>
        <v xml:space="preserve"> </v>
      </c>
      <c r="I40" s="51" t="str">
        <f t="shared" si="0"/>
        <v/>
      </c>
      <c r="J40" s="106" t="str">
        <f t="shared" si="1"/>
        <v/>
      </c>
      <c r="K40" s="106" t="str">
        <f t="shared" si="3"/>
        <v xml:space="preserve"> </v>
      </c>
      <c r="L40" s="106" t="str">
        <f t="shared" si="2"/>
        <v/>
      </c>
      <c r="M40" s="51" t="str">
        <f t="shared" si="4"/>
        <v/>
      </c>
      <c r="N40" s="51"/>
      <c r="O40" s="51" t="str">
        <f t="shared" si="5"/>
        <v xml:space="preserve"> </v>
      </c>
      <c r="V40" s="108"/>
      <c r="W40" s="108"/>
      <c r="Y40" s="107"/>
      <c r="Z40" s="109"/>
    </row>
    <row r="41" spans="1:26" ht="18.75" x14ac:dyDescent="0.25">
      <c r="G41" s="87"/>
      <c r="H41" s="50" t="str">
        <f t="shared" si="6"/>
        <v xml:space="preserve"> </v>
      </c>
      <c r="I41" s="51" t="str">
        <f t="shared" si="0"/>
        <v/>
      </c>
      <c r="J41" s="106" t="str">
        <f t="shared" si="1"/>
        <v/>
      </c>
      <c r="K41" s="106" t="str">
        <f t="shared" si="3"/>
        <v xml:space="preserve"> </v>
      </c>
      <c r="L41" s="106" t="str">
        <f t="shared" si="2"/>
        <v/>
      </c>
      <c r="M41" s="51" t="str">
        <f t="shared" si="4"/>
        <v/>
      </c>
      <c r="N41" s="51"/>
      <c r="O41" s="51" t="str">
        <f t="shared" si="5"/>
        <v xml:space="preserve"> </v>
      </c>
      <c r="R41" s="163" t="s">
        <v>93</v>
      </c>
      <c r="S41" s="163"/>
      <c r="T41" s="163"/>
      <c r="V41" s="108"/>
      <c r="W41" s="108"/>
      <c r="Y41" s="107"/>
      <c r="Z41" s="109"/>
    </row>
    <row r="42" spans="1:26" ht="18.75" x14ac:dyDescent="0.25">
      <c r="C42" s="75"/>
      <c r="G42" s="46"/>
      <c r="H42" s="50" t="str">
        <f t="shared" si="6"/>
        <v xml:space="preserve"> </v>
      </c>
      <c r="I42" s="51" t="str">
        <f t="shared" si="0"/>
        <v/>
      </c>
      <c r="J42" s="106" t="str">
        <f t="shared" si="1"/>
        <v/>
      </c>
      <c r="K42" s="106" t="str">
        <f t="shared" si="3"/>
        <v xml:space="preserve"> </v>
      </c>
      <c r="L42" s="106" t="str">
        <f t="shared" si="2"/>
        <v/>
      </c>
      <c r="M42" s="51" t="str">
        <f t="shared" si="4"/>
        <v/>
      </c>
      <c r="N42" s="51"/>
      <c r="O42" s="51" t="str">
        <f t="shared" si="5"/>
        <v xml:space="preserve"> </v>
      </c>
      <c r="R42" s="163"/>
      <c r="S42" s="163"/>
      <c r="T42" s="163"/>
      <c r="V42" s="108"/>
      <c r="W42" s="108"/>
      <c r="Y42" s="107"/>
      <c r="Z42" s="109"/>
    </row>
    <row r="43" spans="1:26" ht="18.75" x14ac:dyDescent="0.25">
      <c r="C43" s="75"/>
      <c r="G43" s="46"/>
      <c r="H43" s="50" t="str">
        <f t="shared" si="6"/>
        <v xml:space="preserve"> </v>
      </c>
      <c r="I43" s="51" t="str">
        <f t="shared" si="0"/>
        <v/>
      </c>
      <c r="J43" s="106" t="str">
        <f t="shared" si="1"/>
        <v/>
      </c>
      <c r="K43" s="106" t="str">
        <f t="shared" si="3"/>
        <v xml:space="preserve"> </v>
      </c>
      <c r="L43" s="106" t="str">
        <f t="shared" si="2"/>
        <v/>
      </c>
      <c r="M43" s="51" t="str">
        <f t="shared" si="4"/>
        <v/>
      </c>
      <c r="N43" s="51"/>
      <c r="O43" s="51" t="str">
        <f t="shared" si="5"/>
        <v xml:space="preserve"> </v>
      </c>
      <c r="V43" s="108"/>
      <c r="W43" s="108"/>
      <c r="Y43" s="107"/>
      <c r="Z43" s="109"/>
    </row>
    <row r="44" spans="1:26" ht="18.75" x14ac:dyDescent="0.25">
      <c r="C44" s="93"/>
      <c r="G44" s="46"/>
      <c r="H44" s="50" t="str">
        <f t="shared" si="6"/>
        <v xml:space="preserve"> </v>
      </c>
      <c r="I44" s="51" t="str">
        <f t="shared" si="0"/>
        <v/>
      </c>
      <c r="J44" s="106" t="str">
        <f t="shared" si="1"/>
        <v/>
      </c>
      <c r="K44" s="106" t="str">
        <f t="shared" si="3"/>
        <v xml:space="preserve"> </v>
      </c>
      <c r="L44" s="106" t="str">
        <f t="shared" si="2"/>
        <v/>
      </c>
      <c r="M44" s="51" t="str">
        <f t="shared" si="4"/>
        <v/>
      </c>
      <c r="N44" s="51"/>
      <c r="O44" s="51" t="str">
        <f t="shared" si="5"/>
        <v xml:space="preserve"> </v>
      </c>
      <c r="V44" s="108"/>
      <c r="W44" s="108"/>
      <c r="Y44" s="107"/>
      <c r="Z44" s="109"/>
    </row>
    <row r="45" spans="1:26" ht="18.75" x14ac:dyDescent="0.25">
      <c r="C45" s="93"/>
      <c r="G45" s="46"/>
      <c r="H45" s="50" t="str">
        <f t="shared" si="6"/>
        <v xml:space="preserve"> </v>
      </c>
      <c r="I45" s="51" t="str">
        <f t="shared" si="0"/>
        <v/>
      </c>
      <c r="J45" s="106" t="str">
        <f t="shared" si="1"/>
        <v/>
      </c>
      <c r="K45" s="106" t="str">
        <f t="shared" si="3"/>
        <v xml:space="preserve"> </v>
      </c>
      <c r="L45" s="106" t="str">
        <f t="shared" si="2"/>
        <v/>
      </c>
      <c r="M45" s="51" t="str">
        <f t="shared" si="4"/>
        <v/>
      </c>
      <c r="N45" s="51"/>
      <c r="O45" s="51" t="str">
        <f t="shared" si="5"/>
        <v xml:space="preserve"> </v>
      </c>
      <c r="V45" s="108"/>
      <c r="W45" s="108"/>
      <c r="Y45" s="107"/>
      <c r="Z45" s="109"/>
    </row>
    <row r="46" spans="1:26" ht="18.75" x14ac:dyDescent="0.25">
      <c r="B46" s="75"/>
      <c r="C46" s="92"/>
      <c r="D46" s="77"/>
      <c r="E46" s="76"/>
      <c r="F46" s="46"/>
      <c r="G46" s="46"/>
      <c r="H46" s="50" t="str">
        <f t="shared" si="6"/>
        <v xml:space="preserve"> </v>
      </c>
      <c r="I46" s="51" t="str">
        <f t="shared" si="0"/>
        <v/>
      </c>
      <c r="J46" s="106" t="str">
        <f t="shared" si="1"/>
        <v/>
      </c>
      <c r="K46" s="106" t="str">
        <f t="shared" si="3"/>
        <v xml:space="preserve"> </v>
      </c>
      <c r="L46" s="106" t="str">
        <f t="shared" si="2"/>
        <v/>
      </c>
      <c r="M46" s="51" t="str">
        <f t="shared" si="4"/>
        <v/>
      </c>
      <c r="N46" s="51"/>
      <c r="O46" s="51" t="str">
        <f t="shared" si="5"/>
        <v xml:space="preserve"> </v>
      </c>
      <c r="V46" s="108"/>
      <c r="W46" s="108"/>
      <c r="Y46" s="107"/>
      <c r="Z46" s="109"/>
    </row>
    <row r="47" spans="1:26" ht="18.75" x14ac:dyDescent="0.25">
      <c r="B47" s="75"/>
      <c r="C47" s="92" t="s">
        <v>49</v>
      </c>
      <c r="D47" s="76"/>
      <c r="E47" s="76"/>
      <c r="F47" s="46"/>
      <c r="G47" s="46"/>
      <c r="H47" s="50" t="str">
        <f t="shared" si="6"/>
        <v xml:space="preserve"> </v>
      </c>
      <c r="I47" s="51" t="str">
        <f t="shared" si="0"/>
        <v/>
      </c>
      <c r="J47" s="106" t="str">
        <f t="shared" si="1"/>
        <v/>
      </c>
      <c r="K47" s="106" t="str">
        <f t="shared" si="3"/>
        <v xml:space="preserve"> </v>
      </c>
      <c r="L47" s="106" t="str">
        <f t="shared" si="2"/>
        <v/>
      </c>
      <c r="M47" s="51" t="str">
        <f t="shared" si="4"/>
        <v/>
      </c>
      <c r="N47" s="51"/>
      <c r="O47" s="51" t="str">
        <f t="shared" si="5"/>
        <v xml:space="preserve"> </v>
      </c>
      <c r="R47" s="164" t="s">
        <v>87</v>
      </c>
      <c r="S47" s="164"/>
      <c r="V47" s="108"/>
      <c r="W47" s="108"/>
      <c r="Y47" s="107"/>
      <c r="Z47" s="109"/>
    </row>
    <row r="48" spans="1:26" ht="18.75" x14ac:dyDescent="0.25">
      <c r="B48" s="75"/>
      <c r="C48" s="92" t="s">
        <v>50</v>
      </c>
      <c r="D48" s="76"/>
      <c r="E48" s="76"/>
      <c r="F48" s="46"/>
      <c r="G48" s="46"/>
      <c r="H48" s="50" t="str">
        <f t="shared" si="6"/>
        <v xml:space="preserve"> </v>
      </c>
      <c r="I48" s="51" t="str">
        <f t="shared" si="0"/>
        <v/>
      </c>
      <c r="J48" s="106" t="str">
        <f t="shared" si="1"/>
        <v/>
      </c>
      <c r="K48" s="106" t="str">
        <f t="shared" si="3"/>
        <v xml:space="preserve"> </v>
      </c>
      <c r="L48" s="106" t="str">
        <f t="shared" si="2"/>
        <v/>
      </c>
      <c r="M48" s="51" t="str">
        <f t="shared" si="4"/>
        <v/>
      </c>
      <c r="N48" s="51"/>
      <c r="O48" s="51" t="str">
        <f t="shared" si="5"/>
        <v xml:space="preserve"> </v>
      </c>
      <c r="R48" s="164"/>
      <c r="S48" s="164"/>
      <c r="V48" s="108"/>
      <c r="W48" s="108"/>
      <c r="Y48" s="107"/>
      <c r="Z48" s="109"/>
    </row>
    <row r="49" spans="2:26" ht="18.75" x14ac:dyDescent="0.25">
      <c r="B49" s="75"/>
      <c r="C49" s="92" t="s">
        <v>54</v>
      </c>
      <c r="D49" s="76"/>
      <c r="E49" s="76"/>
      <c r="F49" s="46"/>
      <c r="G49" s="46"/>
      <c r="H49" s="50" t="str">
        <f t="shared" si="6"/>
        <v xml:space="preserve"> </v>
      </c>
      <c r="I49" s="51" t="str">
        <f t="shared" si="0"/>
        <v/>
      </c>
      <c r="J49" s="106" t="str">
        <f t="shared" si="1"/>
        <v/>
      </c>
      <c r="K49" s="106" t="str">
        <f t="shared" si="3"/>
        <v xml:space="preserve"> </v>
      </c>
      <c r="L49" s="106" t="str">
        <f t="shared" si="2"/>
        <v/>
      </c>
      <c r="M49" s="51" t="str">
        <f t="shared" si="4"/>
        <v/>
      </c>
      <c r="N49" s="51"/>
      <c r="O49" s="51" t="str">
        <f t="shared" si="5"/>
        <v xml:space="preserve"> </v>
      </c>
      <c r="V49" s="108"/>
      <c r="W49" s="108"/>
      <c r="Y49" s="107"/>
      <c r="Z49" s="109"/>
    </row>
    <row r="50" spans="2:26" ht="18.75" x14ac:dyDescent="0.25">
      <c r="B50" s="75"/>
      <c r="C50" s="92" t="s">
        <v>66</v>
      </c>
      <c r="D50" s="76"/>
      <c r="E50" s="76"/>
      <c r="F50" s="46"/>
      <c r="G50" s="46"/>
      <c r="H50" s="50" t="str">
        <f t="shared" si="6"/>
        <v xml:space="preserve"> </v>
      </c>
      <c r="I50" s="51" t="str">
        <f t="shared" si="0"/>
        <v/>
      </c>
      <c r="J50" s="106" t="str">
        <f t="shared" si="1"/>
        <v/>
      </c>
      <c r="K50" s="106" t="str">
        <f t="shared" si="3"/>
        <v xml:space="preserve"> </v>
      </c>
      <c r="L50" s="106" t="str">
        <f t="shared" si="2"/>
        <v/>
      </c>
      <c r="M50" s="51" t="str">
        <f t="shared" si="4"/>
        <v/>
      </c>
      <c r="N50" s="51"/>
      <c r="O50" s="51" t="str">
        <f t="shared" si="5"/>
        <v xml:space="preserve"> </v>
      </c>
      <c r="V50" s="108"/>
      <c r="W50" s="108"/>
      <c r="Y50" s="107"/>
      <c r="Z50" s="109"/>
    </row>
    <row r="51" spans="2:26" ht="15" x14ac:dyDescent="0.25">
      <c r="B51" s="75"/>
      <c r="C51" s="92" t="s">
        <v>67</v>
      </c>
      <c r="D51" s="76"/>
      <c r="E51" s="76"/>
      <c r="F51" s="46"/>
      <c r="G51" s="46"/>
      <c r="H51" s="50" t="str">
        <f t="shared" si="6"/>
        <v xml:space="preserve"> </v>
      </c>
      <c r="I51" s="51" t="str">
        <f t="shared" si="0"/>
        <v/>
      </c>
      <c r="J51" s="106" t="str">
        <f t="shared" si="1"/>
        <v/>
      </c>
      <c r="K51" s="106" t="str">
        <f t="shared" si="3"/>
        <v xml:space="preserve"> </v>
      </c>
      <c r="L51" s="106" t="str">
        <f t="shared" si="2"/>
        <v/>
      </c>
      <c r="M51" s="51" t="str">
        <f t="shared" si="4"/>
        <v/>
      </c>
      <c r="N51" s="51"/>
      <c r="O51" s="51" t="str">
        <f t="shared" si="5"/>
        <v xml:space="preserve"> </v>
      </c>
    </row>
    <row r="52" spans="2:26" ht="28.5" x14ac:dyDescent="0.25">
      <c r="B52" s="75"/>
      <c r="C52" s="92" t="s">
        <v>68</v>
      </c>
      <c r="D52" s="76"/>
      <c r="E52" s="76"/>
      <c r="F52" s="46"/>
      <c r="G52" s="46"/>
      <c r="H52" s="50" t="str">
        <f t="shared" si="6"/>
        <v xml:space="preserve"> </v>
      </c>
      <c r="I52" s="51" t="str">
        <f t="shared" si="0"/>
        <v/>
      </c>
      <c r="J52" s="106" t="str">
        <f t="shared" si="1"/>
        <v/>
      </c>
      <c r="K52" s="106" t="str">
        <f t="shared" si="3"/>
        <v xml:space="preserve"> </v>
      </c>
      <c r="L52" s="106" t="str">
        <f t="shared" si="2"/>
        <v/>
      </c>
      <c r="M52" s="51" t="str">
        <f t="shared" si="4"/>
        <v/>
      </c>
      <c r="N52" s="51"/>
      <c r="O52" s="51" t="str">
        <f t="shared" si="5"/>
        <v xml:space="preserve"> </v>
      </c>
      <c r="S52" s="112"/>
      <c r="T52" s="113"/>
      <c r="U52" s="113"/>
      <c r="V52" s="113"/>
      <c r="W52" s="114"/>
      <c r="X52" s="115">
        <v>360</v>
      </c>
      <c r="Y52" s="116"/>
    </row>
    <row r="53" spans="2:26" ht="15" x14ac:dyDescent="0.25">
      <c r="B53" s="75"/>
      <c r="C53" s="92" t="s">
        <v>69</v>
      </c>
      <c r="D53" s="76"/>
      <c r="E53" s="76"/>
      <c r="F53" s="46"/>
      <c r="G53" s="46"/>
      <c r="H53" s="50" t="str">
        <f t="shared" si="6"/>
        <v xml:space="preserve"> </v>
      </c>
      <c r="I53" s="51" t="str">
        <f t="shared" si="0"/>
        <v/>
      </c>
      <c r="J53" s="106" t="str">
        <f t="shared" si="1"/>
        <v/>
      </c>
      <c r="K53" s="106" t="str">
        <f t="shared" si="3"/>
        <v xml:space="preserve"> </v>
      </c>
      <c r="L53" s="106" t="str">
        <f t="shared" si="2"/>
        <v/>
      </c>
      <c r="M53" s="51" t="str">
        <f t="shared" si="4"/>
        <v/>
      </c>
      <c r="N53" s="51"/>
      <c r="O53" s="51" t="str">
        <f t="shared" si="5"/>
        <v xml:space="preserve"> </v>
      </c>
      <c r="S53" s="117"/>
      <c r="T53" s="118"/>
      <c r="U53" s="118"/>
      <c r="V53" s="118"/>
      <c r="W53" s="118"/>
      <c r="X53" s="119">
        <f>+W55</f>
        <v>30</v>
      </c>
      <c r="Y53" s="120"/>
    </row>
    <row r="54" spans="2:26" ht="15.75" x14ac:dyDescent="0.25">
      <c r="B54" s="75"/>
      <c r="C54" s="92" t="s">
        <v>70</v>
      </c>
      <c r="D54" s="76"/>
      <c r="E54" s="76"/>
      <c r="F54" s="46"/>
      <c r="G54" s="46"/>
      <c r="H54" s="50" t="str">
        <f t="shared" si="6"/>
        <v xml:space="preserve"> </v>
      </c>
      <c r="I54" s="51" t="str">
        <f t="shared" si="0"/>
        <v/>
      </c>
      <c r="J54" s="106" t="str">
        <f t="shared" si="1"/>
        <v/>
      </c>
      <c r="K54" s="106" t="str">
        <f t="shared" si="3"/>
        <v xml:space="preserve"> </v>
      </c>
      <c r="L54" s="106" t="str">
        <f t="shared" si="2"/>
        <v/>
      </c>
      <c r="M54" s="51" t="str">
        <f t="shared" si="4"/>
        <v/>
      </c>
      <c r="N54" s="51"/>
      <c r="O54" s="51" t="str">
        <f t="shared" si="5"/>
        <v xml:space="preserve"> </v>
      </c>
      <c r="S54" s="117"/>
      <c r="T54" s="118"/>
      <c r="U54" s="118"/>
      <c r="V54" s="118"/>
      <c r="W54" s="121"/>
      <c r="X54" s="118"/>
      <c r="Y54" s="120"/>
    </row>
    <row r="55" spans="2:26" ht="28.5" x14ac:dyDescent="0.45">
      <c r="B55" s="75"/>
      <c r="C55" s="92" t="s">
        <v>71</v>
      </c>
      <c r="D55" s="76"/>
      <c r="E55" s="76"/>
      <c r="F55" s="46"/>
      <c r="G55" s="46"/>
      <c r="H55" s="50" t="str">
        <f t="shared" si="6"/>
        <v xml:space="preserve"> </v>
      </c>
      <c r="I55" s="51" t="str">
        <f t="shared" si="0"/>
        <v/>
      </c>
      <c r="J55" s="106" t="str">
        <f t="shared" si="1"/>
        <v/>
      </c>
      <c r="K55" s="106" t="str">
        <f t="shared" si="3"/>
        <v xml:space="preserve"> </v>
      </c>
      <c r="L55" s="106" t="str">
        <f t="shared" si="2"/>
        <v/>
      </c>
      <c r="M55" s="51" t="str">
        <f t="shared" si="4"/>
        <v/>
      </c>
      <c r="N55" s="51"/>
      <c r="O55" s="51" t="str">
        <f t="shared" si="5"/>
        <v xml:space="preserve"> </v>
      </c>
      <c r="S55" s="117"/>
      <c r="T55" s="118"/>
      <c r="U55" s="190">
        <v>1</v>
      </c>
      <c r="V55" s="191">
        <f>+Z34</f>
        <v>0.14999999996581614</v>
      </c>
      <c r="W55" s="122">
        <f>+$D$31</f>
        <v>30</v>
      </c>
      <c r="X55" s="118"/>
      <c r="Y55" s="192">
        <v>1</v>
      </c>
    </row>
    <row r="56" spans="2:26" ht="28.5" x14ac:dyDescent="0.45">
      <c r="B56" s="75"/>
      <c r="C56" s="92" t="s">
        <v>72</v>
      </c>
      <c r="D56" s="76"/>
      <c r="E56" s="76"/>
      <c r="F56" s="46"/>
      <c r="G56" s="46"/>
      <c r="H56" s="50" t="str">
        <f t="shared" si="6"/>
        <v xml:space="preserve"> </v>
      </c>
      <c r="I56" s="51" t="str">
        <f t="shared" si="0"/>
        <v/>
      </c>
      <c r="J56" s="106" t="str">
        <f t="shared" si="1"/>
        <v/>
      </c>
      <c r="K56" s="106" t="str">
        <f t="shared" si="3"/>
        <v xml:space="preserve"> </v>
      </c>
      <c r="L56" s="106" t="str">
        <f t="shared" si="2"/>
        <v/>
      </c>
      <c r="M56" s="51" t="str">
        <f t="shared" si="4"/>
        <v/>
      </c>
      <c r="N56" s="51"/>
      <c r="O56" s="51" t="str">
        <f t="shared" si="5"/>
        <v xml:space="preserve"> </v>
      </c>
      <c r="S56" s="117"/>
      <c r="T56" s="118"/>
      <c r="U56" s="190"/>
      <c r="V56" s="191"/>
      <c r="W56" s="122">
        <v>360</v>
      </c>
      <c r="X56" s="110"/>
      <c r="Y56" s="192"/>
    </row>
    <row r="57" spans="2:26" ht="15" x14ac:dyDescent="0.25">
      <c r="B57" s="75"/>
      <c r="C57" s="92" t="s">
        <v>73</v>
      </c>
      <c r="D57" s="76"/>
      <c r="E57" s="76"/>
      <c r="F57" s="46"/>
      <c r="G57" s="46"/>
      <c r="H57" s="50" t="str">
        <f t="shared" si="6"/>
        <v xml:space="preserve"> </v>
      </c>
      <c r="I57" s="51" t="str">
        <f t="shared" si="0"/>
        <v/>
      </c>
      <c r="J57" s="106" t="str">
        <f t="shared" si="1"/>
        <v/>
      </c>
      <c r="K57" s="106" t="str">
        <f t="shared" si="3"/>
        <v xml:space="preserve"> </v>
      </c>
      <c r="L57" s="106" t="str">
        <f t="shared" si="2"/>
        <v/>
      </c>
      <c r="M57" s="51" t="str">
        <f t="shared" si="4"/>
        <v/>
      </c>
      <c r="N57" s="51"/>
      <c r="O57" s="51" t="str">
        <f t="shared" si="5"/>
        <v xml:space="preserve"> </v>
      </c>
      <c r="S57" s="117"/>
      <c r="T57" s="118"/>
      <c r="U57" s="118"/>
      <c r="V57" s="118"/>
      <c r="W57" s="118"/>
      <c r="X57" s="118"/>
      <c r="Y57" s="120"/>
    </row>
    <row r="58" spans="2:26" ht="15" x14ac:dyDescent="0.25">
      <c r="B58" s="75"/>
      <c r="C58" s="92" t="s">
        <v>74</v>
      </c>
      <c r="D58" s="76"/>
      <c r="E58" s="76"/>
      <c r="F58" s="46"/>
      <c r="G58" s="46"/>
      <c r="H58" s="50" t="str">
        <f t="shared" si="6"/>
        <v xml:space="preserve"> </v>
      </c>
      <c r="I58" s="51" t="str">
        <f t="shared" si="0"/>
        <v/>
      </c>
      <c r="J58" s="106" t="str">
        <f t="shared" si="1"/>
        <v/>
      </c>
      <c r="K58" s="106" t="str">
        <f t="shared" si="3"/>
        <v xml:space="preserve"> </v>
      </c>
      <c r="L58" s="106" t="str">
        <f t="shared" si="2"/>
        <v/>
      </c>
      <c r="M58" s="51" t="str">
        <f t="shared" si="4"/>
        <v/>
      </c>
      <c r="N58" s="51"/>
      <c r="O58" s="51" t="str">
        <f t="shared" si="5"/>
        <v xml:space="preserve"> </v>
      </c>
      <c r="S58" s="117"/>
      <c r="T58" s="118"/>
      <c r="U58" s="118"/>
      <c r="V58" s="118"/>
      <c r="W58" s="118"/>
      <c r="X58" s="118"/>
      <c r="Y58" s="120"/>
    </row>
    <row r="59" spans="2:26" ht="15" x14ac:dyDescent="0.25">
      <c r="B59" s="75"/>
      <c r="C59" s="92" t="s">
        <v>51</v>
      </c>
      <c r="D59" s="76"/>
      <c r="E59" s="75"/>
      <c r="H59" s="50" t="str">
        <f t="shared" si="6"/>
        <v xml:space="preserve"> </v>
      </c>
      <c r="I59" s="51" t="str">
        <f t="shared" si="0"/>
        <v/>
      </c>
      <c r="J59" s="106" t="str">
        <f t="shared" si="1"/>
        <v/>
      </c>
      <c r="K59" s="106" t="str">
        <f t="shared" si="3"/>
        <v xml:space="preserve"> </v>
      </c>
      <c r="L59" s="106" t="str">
        <f t="shared" si="2"/>
        <v/>
      </c>
      <c r="M59" s="51" t="str">
        <f t="shared" si="4"/>
        <v/>
      </c>
      <c r="N59" s="51"/>
      <c r="O59" s="51" t="str">
        <f t="shared" si="5"/>
        <v xml:space="preserve"> </v>
      </c>
      <c r="S59" s="123"/>
      <c r="T59" s="124"/>
      <c r="U59" s="124"/>
      <c r="V59" s="124"/>
      <c r="W59" s="124"/>
      <c r="X59" s="124"/>
      <c r="Y59" s="125"/>
    </row>
    <row r="60" spans="2:26" ht="15" x14ac:dyDescent="0.25">
      <c r="B60" s="75"/>
      <c r="C60" s="92" t="s">
        <v>52</v>
      </c>
      <c r="D60" s="76"/>
      <c r="E60" s="75"/>
      <c r="H60" s="50" t="str">
        <f t="shared" si="6"/>
        <v xml:space="preserve"> </v>
      </c>
      <c r="I60" s="51" t="str">
        <f t="shared" si="0"/>
        <v/>
      </c>
      <c r="J60" s="106" t="str">
        <f t="shared" si="1"/>
        <v/>
      </c>
      <c r="K60" s="106" t="str">
        <f t="shared" si="3"/>
        <v xml:space="preserve"> </v>
      </c>
      <c r="L60" s="106" t="str">
        <f t="shared" si="2"/>
        <v/>
      </c>
      <c r="M60" s="51" t="str">
        <f t="shared" si="4"/>
        <v/>
      </c>
      <c r="N60" s="51"/>
      <c r="O60" s="51" t="str">
        <f t="shared" si="5"/>
        <v xml:space="preserve"> </v>
      </c>
    </row>
    <row r="61" spans="2:26" ht="28.5" x14ac:dyDescent="0.45">
      <c r="B61" s="75"/>
      <c r="C61" s="92" t="s">
        <v>53</v>
      </c>
      <c r="D61" s="76"/>
      <c r="E61" s="75"/>
      <c r="H61" s="50" t="str">
        <f t="shared" si="6"/>
        <v xml:space="preserve"> </v>
      </c>
      <c r="I61" s="51" t="str">
        <f t="shared" si="0"/>
        <v/>
      </c>
      <c r="J61" s="106" t="str">
        <f t="shared" si="1"/>
        <v/>
      </c>
      <c r="K61" s="106" t="str">
        <f t="shared" si="3"/>
        <v xml:space="preserve"> </v>
      </c>
      <c r="L61" s="106" t="str">
        <f t="shared" si="2"/>
        <v/>
      </c>
      <c r="M61" s="51" t="str">
        <f t="shared" si="4"/>
        <v/>
      </c>
      <c r="N61" s="51"/>
      <c r="O61" s="51" t="str">
        <f t="shared" si="5"/>
        <v xml:space="preserve"> </v>
      </c>
      <c r="T61" s="78"/>
    </row>
    <row r="62" spans="2:26" ht="15.75" thickBot="1" x14ac:dyDescent="0.3">
      <c r="B62" s="75"/>
      <c r="C62" s="93"/>
      <c r="D62" s="75"/>
      <c r="E62" s="75"/>
      <c r="H62" s="50" t="str">
        <f t="shared" si="6"/>
        <v xml:space="preserve"> </v>
      </c>
      <c r="I62" s="51" t="str">
        <f t="shared" si="0"/>
        <v/>
      </c>
      <c r="J62" s="106" t="str">
        <f t="shared" si="1"/>
        <v/>
      </c>
      <c r="K62" s="106" t="str">
        <f t="shared" si="3"/>
        <v xml:space="preserve"> </v>
      </c>
      <c r="L62" s="106" t="str">
        <f t="shared" si="2"/>
        <v/>
      </c>
      <c r="M62" s="51" t="str">
        <f t="shared" si="4"/>
        <v/>
      </c>
      <c r="N62" s="51"/>
      <c r="O62" s="51" t="str">
        <f t="shared" si="5"/>
        <v xml:space="preserve"> </v>
      </c>
    </row>
    <row r="63" spans="2:26" ht="28.5" customHeight="1" x14ac:dyDescent="0.25">
      <c r="B63" s="75"/>
      <c r="C63" s="93" t="s">
        <v>118</v>
      </c>
      <c r="D63" s="75"/>
      <c r="E63" s="75"/>
      <c r="H63" s="50" t="str">
        <f t="shared" si="6"/>
        <v xml:space="preserve"> </v>
      </c>
      <c r="I63" s="51" t="str">
        <f t="shared" si="0"/>
        <v/>
      </c>
      <c r="J63" s="106" t="str">
        <f t="shared" si="1"/>
        <v/>
      </c>
      <c r="K63" s="106" t="str">
        <f t="shared" si="3"/>
        <v xml:space="preserve"> </v>
      </c>
      <c r="L63" s="106" t="str">
        <f t="shared" si="2"/>
        <v/>
      </c>
      <c r="M63" s="51" t="str">
        <f t="shared" si="4"/>
        <v/>
      </c>
      <c r="N63" s="51"/>
      <c r="O63" s="51" t="str">
        <f t="shared" si="5"/>
        <v xml:space="preserve"> </v>
      </c>
      <c r="T63" s="186" t="s">
        <v>0</v>
      </c>
      <c r="U63" s="153">
        <f>+((1+Z34*($D$31/360))^(360/$D$31))-1</f>
        <v>0.16075451768380966</v>
      </c>
      <c r="V63" s="154"/>
      <c r="W63" s="111"/>
    </row>
    <row r="64" spans="2:26" ht="28.5" customHeight="1" thickBot="1" x14ac:dyDescent="0.3">
      <c r="B64" s="75"/>
      <c r="C64" s="93" t="s">
        <v>119</v>
      </c>
      <c r="D64" s="75"/>
      <c r="E64" s="75"/>
      <c r="H64" s="50" t="str">
        <f t="shared" si="6"/>
        <v xml:space="preserve"> </v>
      </c>
      <c r="I64" s="51" t="str">
        <f t="shared" si="0"/>
        <v/>
      </c>
      <c r="J64" s="106" t="str">
        <f t="shared" si="1"/>
        <v/>
      </c>
      <c r="K64" s="106" t="str">
        <f t="shared" si="3"/>
        <v xml:space="preserve"> </v>
      </c>
      <c r="L64" s="106" t="str">
        <f t="shared" si="2"/>
        <v/>
      </c>
      <c r="M64" s="51" t="str">
        <f t="shared" si="4"/>
        <v/>
      </c>
      <c r="N64" s="51"/>
      <c r="O64" s="51" t="str">
        <f t="shared" si="5"/>
        <v xml:space="preserve"> </v>
      </c>
      <c r="T64" s="187"/>
      <c r="U64" s="155"/>
      <c r="V64" s="156"/>
      <c r="W64" s="111"/>
    </row>
    <row r="65" spans="3:15" ht="15" x14ac:dyDescent="0.25">
      <c r="C65" s="93"/>
      <c r="H65" s="50" t="str">
        <f t="shared" si="6"/>
        <v xml:space="preserve"> </v>
      </c>
      <c r="I65" s="51" t="str">
        <f t="shared" si="0"/>
        <v/>
      </c>
      <c r="J65" s="106" t="str">
        <f t="shared" si="1"/>
        <v/>
      </c>
      <c r="K65" s="106" t="str">
        <f t="shared" si="3"/>
        <v xml:space="preserve"> </v>
      </c>
      <c r="L65" s="106" t="str">
        <f t="shared" si="2"/>
        <v/>
      </c>
      <c r="M65" s="51" t="str">
        <f t="shared" si="4"/>
        <v/>
      </c>
      <c r="N65" s="51"/>
      <c r="O65" s="51" t="str">
        <f t="shared" si="5"/>
        <v xml:space="preserve"> </v>
      </c>
    </row>
    <row r="66" spans="3:15" ht="15" x14ac:dyDescent="0.25">
      <c r="C66" s="93" t="s">
        <v>94</v>
      </c>
      <c r="H66" s="50" t="str">
        <f t="shared" si="6"/>
        <v xml:space="preserve"> </v>
      </c>
      <c r="I66" s="51" t="str">
        <f t="shared" si="0"/>
        <v/>
      </c>
      <c r="J66" s="106" t="str">
        <f t="shared" si="1"/>
        <v/>
      </c>
      <c r="K66" s="106" t="str">
        <f t="shared" si="3"/>
        <v xml:space="preserve"> </v>
      </c>
      <c r="L66" s="106" t="str">
        <f t="shared" si="2"/>
        <v/>
      </c>
      <c r="M66" s="51" t="str">
        <f t="shared" si="4"/>
        <v/>
      </c>
      <c r="N66" s="51"/>
      <c r="O66" s="51" t="str">
        <f t="shared" si="5"/>
        <v xml:space="preserve"> </v>
      </c>
    </row>
    <row r="67" spans="3:15" ht="15" x14ac:dyDescent="0.25">
      <c r="C67" s="93" t="s">
        <v>77</v>
      </c>
      <c r="H67" s="50" t="str">
        <f t="shared" si="6"/>
        <v xml:space="preserve"> </v>
      </c>
      <c r="I67" s="51" t="str">
        <f t="shared" si="0"/>
        <v/>
      </c>
      <c r="J67" s="106" t="str">
        <f t="shared" si="1"/>
        <v/>
      </c>
      <c r="K67" s="106" t="str">
        <f t="shared" si="3"/>
        <v xml:space="preserve"> </v>
      </c>
      <c r="L67" s="106" t="str">
        <f t="shared" si="2"/>
        <v/>
      </c>
      <c r="M67" s="51" t="str">
        <f t="shared" si="4"/>
        <v/>
      </c>
      <c r="N67" s="51"/>
      <c r="O67" s="51" t="str">
        <f t="shared" si="5"/>
        <v xml:space="preserve"> </v>
      </c>
    </row>
    <row r="68" spans="3:15" ht="15" x14ac:dyDescent="0.25">
      <c r="C68" s="93" t="s">
        <v>78</v>
      </c>
      <c r="H68" s="50" t="str">
        <f t="shared" si="6"/>
        <v xml:space="preserve"> </v>
      </c>
      <c r="I68" s="51" t="str">
        <f t="shared" si="0"/>
        <v/>
      </c>
      <c r="J68" s="106" t="str">
        <f t="shared" si="1"/>
        <v/>
      </c>
      <c r="K68" s="106" t="str">
        <f t="shared" si="3"/>
        <v xml:space="preserve"> </v>
      </c>
      <c r="L68" s="106" t="str">
        <f t="shared" si="2"/>
        <v/>
      </c>
      <c r="M68" s="51" t="str">
        <f t="shared" si="4"/>
        <v/>
      </c>
      <c r="N68" s="51"/>
      <c r="O68" s="51" t="str">
        <f t="shared" si="5"/>
        <v xml:space="preserve"> </v>
      </c>
    </row>
    <row r="69" spans="3:15" ht="15" x14ac:dyDescent="0.25">
      <c r="C69" s="93" t="s">
        <v>81</v>
      </c>
      <c r="H69" s="50" t="str">
        <f t="shared" si="6"/>
        <v xml:space="preserve"> </v>
      </c>
      <c r="I69" s="51" t="str">
        <f t="shared" si="0"/>
        <v/>
      </c>
      <c r="J69" s="106" t="str">
        <f t="shared" si="1"/>
        <v/>
      </c>
      <c r="K69" s="106" t="str">
        <f t="shared" si="3"/>
        <v xml:space="preserve"> </v>
      </c>
      <c r="L69" s="106" t="str">
        <f t="shared" si="2"/>
        <v/>
      </c>
      <c r="M69" s="51" t="str">
        <f t="shared" si="4"/>
        <v/>
      </c>
      <c r="N69" s="51"/>
      <c r="O69" s="51" t="str">
        <f t="shared" si="5"/>
        <v xml:space="preserve"> </v>
      </c>
    </row>
    <row r="70" spans="3:15" ht="15" x14ac:dyDescent="0.25">
      <c r="C70" s="93" t="s">
        <v>79</v>
      </c>
      <c r="H70" s="50" t="str">
        <f t="shared" si="6"/>
        <v xml:space="preserve"> </v>
      </c>
      <c r="I70" s="51" t="str">
        <f t="shared" si="0"/>
        <v/>
      </c>
      <c r="J70" s="106" t="str">
        <f t="shared" si="1"/>
        <v/>
      </c>
      <c r="K70" s="106" t="str">
        <f t="shared" si="3"/>
        <v xml:space="preserve"> </v>
      </c>
      <c r="L70" s="106" t="str">
        <f t="shared" si="2"/>
        <v/>
      </c>
      <c r="M70" s="51" t="str">
        <f t="shared" si="4"/>
        <v/>
      </c>
      <c r="N70" s="51"/>
      <c r="O70" s="51" t="str">
        <f t="shared" si="5"/>
        <v xml:space="preserve"> </v>
      </c>
    </row>
    <row r="71" spans="3:15" ht="15" x14ac:dyDescent="0.25">
      <c r="C71" s="93" t="s">
        <v>82</v>
      </c>
      <c r="H71" s="50" t="str">
        <f t="shared" si="6"/>
        <v xml:space="preserve"> </v>
      </c>
      <c r="I71" s="51" t="str">
        <f t="shared" si="0"/>
        <v/>
      </c>
      <c r="J71" s="106" t="str">
        <f t="shared" si="1"/>
        <v/>
      </c>
      <c r="K71" s="106" t="str">
        <f t="shared" si="3"/>
        <v xml:space="preserve"> </v>
      </c>
      <c r="L71" s="106" t="str">
        <f t="shared" si="2"/>
        <v/>
      </c>
      <c r="M71" s="51" t="str">
        <f t="shared" si="4"/>
        <v/>
      </c>
      <c r="N71" s="51"/>
      <c r="O71" s="51" t="str">
        <f t="shared" si="5"/>
        <v xml:space="preserve"> </v>
      </c>
    </row>
    <row r="72" spans="3:15" ht="15" x14ac:dyDescent="0.25">
      <c r="C72" s="94" t="s">
        <v>80</v>
      </c>
      <c r="H72" s="50" t="str">
        <f t="shared" si="6"/>
        <v xml:space="preserve"> </v>
      </c>
      <c r="I72" s="51" t="str">
        <f t="shared" si="0"/>
        <v/>
      </c>
      <c r="J72" s="106" t="str">
        <f t="shared" si="1"/>
        <v/>
      </c>
      <c r="K72" s="106" t="str">
        <f t="shared" si="3"/>
        <v xml:space="preserve"> </v>
      </c>
      <c r="L72" s="106" t="str">
        <f t="shared" si="2"/>
        <v/>
      </c>
      <c r="M72" s="51" t="str">
        <f t="shared" si="4"/>
        <v/>
      </c>
      <c r="N72" s="51"/>
      <c r="O72" s="51" t="str">
        <f t="shared" si="5"/>
        <v xml:space="preserve"> </v>
      </c>
    </row>
    <row r="73" spans="3:15" ht="15" x14ac:dyDescent="0.25">
      <c r="C73" s="93"/>
      <c r="H73" s="50" t="str">
        <f t="shared" si="6"/>
        <v xml:space="preserve"> </v>
      </c>
      <c r="I73" s="51" t="str">
        <f t="shared" si="0"/>
        <v/>
      </c>
      <c r="J73" s="106" t="str">
        <f t="shared" si="1"/>
        <v/>
      </c>
      <c r="K73" s="106" t="str">
        <f t="shared" si="3"/>
        <v xml:space="preserve"> </v>
      </c>
      <c r="L73" s="106" t="str">
        <f t="shared" si="2"/>
        <v/>
      </c>
      <c r="M73" s="51" t="str">
        <f t="shared" si="4"/>
        <v/>
      </c>
      <c r="N73" s="51"/>
      <c r="O73" s="51" t="str">
        <f t="shared" si="5"/>
        <v xml:space="preserve"> </v>
      </c>
    </row>
    <row r="74" spans="3:15" ht="15" x14ac:dyDescent="0.25">
      <c r="C74" s="93"/>
      <c r="H74" s="50" t="str">
        <f t="shared" si="6"/>
        <v xml:space="preserve"> </v>
      </c>
      <c r="I74" s="51" t="str">
        <f t="shared" si="0"/>
        <v/>
      </c>
      <c r="J74" s="106" t="str">
        <f t="shared" si="1"/>
        <v/>
      </c>
      <c r="K74" s="106" t="str">
        <f t="shared" si="3"/>
        <v xml:space="preserve"> </v>
      </c>
      <c r="L74" s="106" t="str">
        <f t="shared" si="2"/>
        <v/>
      </c>
      <c r="M74" s="51" t="str">
        <f t="shared" si="4"/>
        <v/>
      </c>
      <c r="N74" s="51"/>
      <c r="O74" s="51" t="str">
        <f t="shared" si="5"/>
        <v xml:space="preserve"> </v>
      </c>
    </row>
    <row r="75" spans="3:15" ht="15" x14ac:dyDescent="0.25">
      <c r="C75" s="93"/>
      <c r="H75" s="50" t="str">
        <f t="shared" si="6"/>
        <v xml:space="preserve"> </v>
      </c>
      <c r="I75" s="51" t="str">
        <f t="shared" si="0"/>
        <v/>
      </c>
      <c r="J75" s="106" t="str">
        <f t="shared" si="1"/>
        <v/>
      </c>
      <c r="K75" s="106" t="str">
        <f t="shared" si="3"/>
        <v xml:space="preserve"> </v>
      </c>
      <c r="L75" s="106" t="str">
        <f t="shared" si="2"/>
        <v/>
      </c>
      <c r="M75" s="51" t="str">
        <f t="shared" si="4"/>
        <v/>
      </c>
      <c r="N75" s="51"/>
      <c r="O75" s="51" t="str">
        <f t="shared" si="5"/>
        <v xml:space="preserve"> </v>
      </c>
    </row>
    <row r="76" spans="3:15" ht="15" x14ac:dyDescent="0.25">
      <c r="C76" s="93"/>
      <c r="H76" s="50" t="str">
        <f t="shared" si="6"/>
        <v xml:space="preserve"> </v>
      </c>
      <c r="I76" s="51" t="str">
        <f t="shared" si="0"/>
        <v/>
      </c>
      <c r="J76" s="106" t="str">
        <f t="shared" si="1"/>
        <v/>
      </c>
      <c r="K76" s="106" t="str">
        <f t="shared" si="3"/>
        <v xml:space="preserve"> </v>
      </c>
      <c r="L76" s="106" t="str">
        <f t="shared" si="2"/>
        <v/>
      </c>
      <c r="M76" s="51" t="str">
        <f t="shared" si="4"/>
        <v/>
      </c>
      <c r="N76" s="51"/>
      <c r="O76" s="51" t="str">
        <f t="shared" si="5"/>
        <v xml:space="preserve"> </v>
      </c>
    </row>
    <row r="77" spans="3:15" ht="15" x14ac:dyDescent="0.25">
      <c r="C77" s="93"/>
      <c r="H77" s="50" t="str">
        <f t="shared" si="6"/>
        <v xml:space="preserve"> </v>
      </c>
      <c r="I77" s="51" t="str">
        <f t="shared" si="0"/>
        <v/>
      </c>
      <c r="J77" s="106" t="str">
        <f t="shared" si="1"/>
        <v/>
      </c>
      <c r="K77" s="106" t="str">
        <f t="shared" si="3"/>
        <v xml:space="preserve"> </v>
      </c>
      <c r="L77" s="106" t="str">
        <f t="shared" si="2"/>
        <v/>
      </c>
      <c r="M77" s="51" t="str">
        <f t="shared" si="4"/>
        <v/>
      </c>
      <c r="N77" s="51"/>
      <c r="O77" s="51" t="str">
        <f t="shared" si="5"/>
        <v xml:space="preserve"> </v>
      </c>
    </row>
    <row r="78" spans="3:15" ht="15" x14ac:dyDescent="0.25">
      <c r="C78" s="93"/>
      <c r="H78" s="50" t="str">
        <f t="shared" si="6"/>
        <v xml:space="preserve"> </v>
      </c>
      <c r="I78" s="51" t="str">
        <f t="shared" si="0"/>
        <v/>
      </c>
      <c r="J78" s="106" t="str">
        <f t="shared" si="1"/>
        <v/>
      </c>
      <c r="K78" s="106" t="str">
        <f t="shared" si="3"/>
        <v xml:space="preserve"> </v>
      </c>
      <c r="L78" s="106" t="str">
        <f t="shared" si="2"/>
        <v/>
      </c>
      <c r="M78" s="51" t="str">
        <f t="shared" si="4"/>
        <v/>
      </c>
      <c r="N78" s="51"/>
      <c r="O78" s="51" t="str">
        <f t="shared" si="5"/>
        <v xml:space="preserve"> </v>
      </c>
    </row>
    <row r="79" spans="3:15" ht="15" x14ac:dyDescent="0.25">
      <c r="C79" s="93"/>
      <c r="H79" s="50" t="str">
        <f t="shared" si="6"/>
        <v xml:space="preserve"> </v>
      </c>
      <c r="I79" s="51" t="str">
        <f t="shared" si="0"/>
        <v/>
      </c>
      <c r="J79" s="106" t="str">
        <f t="shared" si="1"/>
        <v/>
      </c>
      <c r="K79" s="106" t="str">
        <f t="shared" si="3"/>
        <v xml:space="preserve"> </v>
      </c>
      <c r="L79" s="106" t="str">
        <f t="shared" si="2"/>
        <v/>
      </c>
      <c r="M79" s="51" t="str">
        <f t="shared" si="4"/>
        <v/>
      </c>
      <c r="N79" s="51"/>
      <c r="O79" s="51" t="str">
        <f t="shared" si="5"/>
        <v xml:space="preserve"> </v>
      </c>
    </row>
    <row r="80" spans="3:15" ht="15" x14ac:dyDescent="0.25">
      <c r="C80" s="93"/>
      <c r="H80" s="50" t="str">
        <f t="shared" si="6"/>
        <v xml:space="preserve"> </v>
      </c>
      <c r="I80" s="51" t="str">
        <f t="shared" ref="I80:I143" si="7">IF(H80&lt;=$D$32,(IF(H80&lt;=$D$20,IF(credito="Período de Gracia Total",0,$L$15*$D$27/$D$23),(IF(credito="Período de Gracia Parcial",$L$15/PV(($D$27/$D$23),$D$32-$D$20,-1),$L$15*(1+($D$27/$D$23))^$D$20/PV(($D$27/$D$23),$D$32-$D$20,-1))))),"")</f>
        <v/>
      </c>
      <c r="J80" s="106" t="str">
        <f t="shared" ref="J80:J143" si="8">IF(H80&lt;=$D$32,IF(H80&lt;=$D$20,IF(credito="Período de Gracia Total",0,L$15*$D$27/$D$23),L79*$D$27/$D$23),"")</f>
        <v/>
      </c>
      <c r="K80" s="106" t="str">
        <f t="shared" si="3"/>
        <v xml:space="preserve"> </v>
      </c>
      <c r="L80" s="106" t="str">
        <f t="shared" ref="L80:L143" si="9">IF(H80&lt;=$D$32,IF(H80&lt;=$D$20,IF(credito="Período de Gracia Total",$L$15*(1+($D$27/$D$23))^H80,L79-K80),L79-K80),"")</f>
        <v/>
      </c>
      <c r="M80" s="51" t="str">
        <f t="shared" si="4"/>
        <v/>
      </c>
      <c r="N80" s="51"/>
      <c r="O80" s="51" t="str">
        <f t="shared" si="5"/>
        <v xml:space="preserve"> </v>
      </c>
    </row>
    <row r="81" spans="3:20" ht="15" x14ac:dyDescent="0.25">
      <c r="C81" s="75"/>
      <c r="H81" s="50" t="str">
        <f t="shared" si="6"/>
        <v xml:space="preserve"> </v>
      </c>
      <c r="I81" s="51" t="str">
        <f t="shared" si="7"/>
        <v/>
      </c>
      <c r="J81" s="106" t="str">
        <f t="shared" si="8"/>
        <v/>
      </c>
      <c r="K81" s="106" t="str">
        <f t="shared" ref="K81:K144" si="10">IF(H81&lt;=$T$15,I81-J81," ")</f>
        <v xml:space="preserve"> </v>
      </c>
      <c r="L81" s="106" t="str">
        <f t="shared" si="9"/>
        <v/>
      </c>
      <c r="M81" s="51" t="str">
        <f t="shared" ref="M81:M144" si="11">IF(H81&lt;=$D$32,M80+K81,"")</f>
        <v/>
      </c>
      <c r="N81" s="51"/>
      <c r="O81" s="51" t="str">
        <f t="shared" ref="O81:O144" si="12">IF(H81&lt;=$T$15,-I81," ")</f>
        <v xml:space="preserve"> </v>
      </c>
    </row>
    <row r="82" spans="3:20" ht="15" x14ac:dyDescent="0.25">
      <c r="C82" s="75"/>
      <c r="H82" s="50" t="str">
        <f t="shared" ref="H82:H145" si="13">IF($H81&gt;=$T$15," ",H81+1)</f>
        <v xml:space="preserve"> </v>
      </c>
      <c r="I82" s="51" t="str">
        <f t="shared" si="7"/>
        <v/>
      </c>
      <c r="J82" s="106" t="str">
        <f t="shared" si="8"/>
        <v/>
      </c>
      <c r="K82" s="106" t="str">
        <f t="shared" si="10"/>
        <v xml:space="preserve"> </v>
      </c>
      <c r="L82" s="106" t="str">
        <f t="shared" si="9"/>
        <v/>
      </c>
      <c r="M82" s="51" t="str">
        <f t="shared" si="11"/>
        <v/>
      </c>
      <c r="N82" s="51"/>
      <c r="O82" s="51" t="str">
        <f t="shared" si="12"/>
        <v xml:space="preserve"> </v>
      </c>
    </row>
    <row r="83" spans="3:20" ht="15" x14ac:dyDescent="0.25">
      <c r="C83" s="75"/>
      <c r="H83" s="50" t="str">
        <f t="shared" si="13"/>
        <v xml:space="preserve"> </v>
      </c>
      <c r="I83" s="51" t="str">
        <f t="shared" si="7"/>
        <v/>
      </c>
      <c r="J83" s="106" t="str">
        <f t="shared" si="8"/>
        <v/>
      </c>
      <c r="K83" s="106" t="str">
        <f t="shared" si="10"/>
        <v xml:space="preserve"> </v>
      </c>
      <c r="L83" s="106" t="str">
        <f t="shared" si="9"/>
        <v/>
      </c>
      <c r="M83" s="51" t="str">
        <f t="shared" si="11"/>
        <v/>
      </c>
      <c r="N83" s="51"/>
      <c r="O83" s="51" t="str">
        <f t="shared" si="12"/>
        <v xml:space="preserve"> </v>
      </c>
    </row>
    <row r="84" spans="3:20" ht="15" x14ac:dyDescent="0.25">
      <c r="C84" s="75"/>
      <c r="H84" s="50" t="str">
        <f t="shared" si="13"/>
        <v xml:space="preserve"> </v>
      </c>
      <c r="I84" s="51" t="str">
        <f t="shared" si="7"/>
        <v/>
      </c>
      <c r="J84" s="106" t="str">
        <f t="shared" si="8"/>
        <v/>
      </c>
      <c r="K84" s="106" t="str">
        <f t="shared" si="10"/>
        <v xml:space="preserve"> </v>
      </c>
      <c r="L84" s="106" t="str">
        <f t="shared" si="9"/>
        <v/>
      </c>
      <c r="M84" s="51" t="str">
        <f t="shared" si="11"/>
        <v/>
      </c>
      <c r="N84" s="51"/>
      <c r="O84" s="51" t="str">
        <f t="shared" si="12"/>
        <v xml:space="preserve"> </v>
      </c>
    </row>
    <row r="85" spans="3:20" ht="15" x14ac:dyDescent="0.25">
      <c r="H85" s="50" t="str">
        <f t="shared" si="13"/>
        <v xml:space="preserve"> </v>
      </c>
      <c r="I85" s="51" t="str">
        <f t="shared" si="7"/>
        <v/>
      </c>
      <c r="J85" s="106" t="str">
        <f t="shared" si="8"/>
        <v/>
      </c>
      <c r="K85" s="106" t="str">
        <f t="shared" si="10"/>
        <v xml:space="preserve"> </v>
      </c>
      <c r="L85" s="106" t="str">
        <f t="shared" si="9"/>
        <v/>
      </c>
      <c r="M85" s="51" t="str">
        <f t="shared" si="11"/>
        <v/>
      </c>
      <c r="N85" s="51"/>
      <c r="O85" s="51" t="str">
        <f t="shared" si="12"/>
        <v xml:space="preserve"> </v>
      </c>
    </row>
    <row r="86" spans="3:20" ht="28.5" x14ac:dyDescent="0.45">
      <c r="H86" s="50" t="str">
        <f t="shared" si="13"/>
        <v xml:space="preserve"> </v>
      </c>
      <c r="I86" s="51" t="str">
        <f t="shared" si="7"/>
        <v/>
      </c>
      <c r="J86" s="106" t="str">
        <f t="shared" si="8"/>
        <v/>
      </c>
      <c r="K86" s="106" t="str">
        <f t="shared" si="10"/>
        <v xml:space="preserve"> </v>
      </c>
      <c r="L86" s="106" t="str">
        <f t="shared" si="9"/>
        <v/>
      </c>
      <c r="M86" s="51" t="str">
        <f t="shared" si="11"/>
        <v/>
      </c>
      <c r="N86" s="51"/>
      <c r="O86" s="51" t="str">
        <f t="shared" si="12"/>
        <v xml:space="preserve"> </v>
      </c>
      <c r="S86" s="185"/>
      <c r="T86" s="185"/>
    </row>
    <row r="87" spans="3:20" ht="15" x14ac:dyDescent="0.25">
      <c r="H87" s="50" t="str">
        <f t="shared" si="13"/>
        <v xml:space="preserve"> </v>
      </c>
      <c r="I87" s="51" t="str">
        <f t="shared" si="7"/>
        <v/>
      </c>
      <c r="J87" s="106" t="str">
        <f t="shared" si="8"/>
        <v/>
      </c>
      <c r="K87" s="106" t="str">
        <f t="shared" si="10"/>
        <v xml:space="preserve"> </v>
      </c>
      <c r="L87" s="106" t="str">
        <f t="shared" si="9"/>
        <v/>
      </c>
      <c r="M87" s="51" t="str">
        <f t="shared" si="11"/>
        <v/>
      </c>
      <c r="N87" s="51"/>
      <c r="O87" s="51" t="str">
        <f t="shared" si="12"/>
        <v xml:space="preserve"> </v>
      </c>
    </row>
    <row r="88" spans="3:20" ht="15" x14ac:dyDescent="0.25">
      <c r="H88" s="50" t="str">
        <f t="shared" si="13"/>
        <v xml:space="preserve"> </v>
      </c>
      <c r="I88" s="51" t="str">
        <f t="shared" si="7"/>
        <v/>
      </c>
      <c r="J88" s="106" t="str">
        <f t="shared" si="8"/>
        <v/>
      </c>
      <c r="K88" s="106" t="str">
        <f t="shared" si="10"/>
        <v xml:space="preserve"> </v>
      </c>
      <c r="L88" s="106" t="str">
        <f t="shared" si="9"/>
        <v/>
      </c>
      <c r="M88" s="51" t="str">
        <f t="shared" si="11"/>
        <v/>
      </c>
      <c r="N88" s="51"/>
      <c r="O88" s="51" t="str">
        <f t="shared" si="12"/>
        <v xml:space="preserve"> </v>
      </c>
    </row>
    <row r="89" spans="3:20" ht="15" x14ac:dyDescent="0.25">
      <c r="H89" s="50" t="str">
        <f t="shared" si="13"/>
        <v xml:space="preserve"> </v>
      </c>
      <c r="I89" s="51" t="str">
        <f t="shared" si="7"/>
        <v/>
      </c>
      <c r="J89" s="106" t="str">
        <f t="shared" si="8"/>
        <v/>
      </c>
      <c r="K89" s="106" t="str">
        <f t="shared" si="10"/>
        <v xml:space="preserve"> </v>
      </c>
      <c r="L89" s="106" t="str">
        <f t="shared" si="9"/>
        <v/>
      </c>
      <c r="M89" s="51" t="str">
        <f t="shared" si="11"/>
        <v/>
      </c>
      <c r="N89" s="51"/>
      <c r="O89" s="51" t="str">
        <f t="shared" si="12"/>
        <v xml:space="preserve"> </v>
      </c>
    </row>
    <row r="90" spans="3:20" ht="15" x14ac:dyDescent="0.25">
      <c r="H90" s="50" t="str">
        <f t="shared" si="13"/>
        <v xml:space="preserve"> </v>
      </c>
      <c r="I90" s="51" t="str">
        <f t="shared" si="7"/>
        <v/>
      </c>
      <c r="J90" s="106" t="str">
        <f t="shared" si="8"/>
        <v/>
      </c>
      <c r="K90" s="106" t="str">
        <f t="shared" si="10"/>
        <v xml:space="preserve"> </v>
      </c>
      <c r="L90" s="106" t="str">
        <f t="shared" si="9"/>
        <v/>
      </c>
      <c r="M90" s="51" t="str">
        <f t="shared" si="11"/>
        <v/>
      </c>
      <c r="N90" s="51"/>
      <c r="O90" s="51" t="str">
        <f t="shared" si="12"/>
        <v xml:space="preserve"> </v>
      </c>
    </row>
    <row r="91" spans="3:20" ht="15" x14ac:dyDescent="0.25">
      <c r="H91" s="50" t="str">
        <f t="shared" si="13"/>
        <v xml:space="preserve"> </v>
      </c>
      <c r="I91" s="51" t="str">
        <f t="shared" si="7"/>
        <v/>
      </c>
      <c r="J91" s="106" t="str">
        <f t="shared" si="8"/>
        <v/>
      </c>
      <c r="K91" s="106" t="str">
        <f t="shared" si="10"/>
        <v xml:space="preserve"> </v>
      </c>
      <c r="L91" s="106" t="str">
        <f t="shared" si="9"/>
        <v/>
      </c>
      <c r="M91" s="51" t="str">
        <f t="shared" si="11"/>
        <v/>
      </c>
      <c r="N91" s="51"/>
      <c r="O91" s="51" t="str">
        <f t="shared" si="12"/>
        <v xml:space="preserve"> </v>
      </c>
    </row>
    <row r="92" spans="3:20" ht="15" x14ac:dyDescent="0.25">
      <c r="H92" s="50" t="str">
        <f t="shared" si="13"/>
        <v xml:space="preserve"> </v>
      </c>
      <c r="I92" s="51" t="str">
        <f t="shared" si="7"/>
        <v/>
      </c>
      <c r="J92" s="106" t="str">
        <f t="shared" si="8"/>
        <v/>
      </c>
      <c r="K92" s="106" t="str">
        <f t="shared" si="10"/>
        <v xml:space="preserve"> </v>
      </c>
      <c r="L92" s="106" t="str">
        <f t="shared" si="9"/>
        <v/>
      </c>
      <c r="M92" s="51" t="str">
        <f t="shared" si="11"/>
        <v/>
      </c>
      <c r="N92" s="51"/>
      <c r="O92" s="51" t="str">
        <f t="shared" si="12"/>
        <v xml:space="preserve"> </v>
      </c>
    </row>
    <row r="93" spans="3:20" ht="15" x14ac:dyDescent="0.25">
      <c r="H93" s="50" t="str">
        <f t="shared" si="13"/>
        <v xml:space="preserve"> </v>
      </c>
      <c r="I93" s="51" t="str">
        <f t="shared" si="7"/>
        <v/>
      </c>
      <c r="J93" s="106" t="str">
        <f t="shared" si="8"/>
        <v/>
      </c>
      <c r="K93" s="106" t="str">
        <f t="shared" si="10"/>
        <v xml:space="preserve"> </v>
      </c>
      <c r="L93" s="106" t="str">
        <f t="shared" si="9"/>
        <v/>
      </c>
      <c r="M93" s="51" t="str">
        <f t="shared" si="11"/>
        <v/>
      </c>
      <c r="N93" s="51"/>
      <c r="O93" s="51" t="str">
        <f t="shared" si="12"/>
        <v xml:space="preserve"> </v>
      </c>
    </row>
    <row r="94" spans="3:20" ht="15" x14ac:dyDescent="0.25">
      <c r="H94" s="50" t="str">
        <f t="shared" si="13"/>
        <v xml:space="preserve"> </v>
      </c>
      <c r="I94" s="51" t="str">
        <f t="shared" si="7"/>
        <v/>
      </c>
      <c r="J94" s="106" t="str">
        <f t="shared" si="8"/>
        <v/>
      </c>
      <c r="K94" s="106" t="str">
        <f t="shared" si="10"/>
        <v xml:space="preserve"> </v>
      </c>
      <c r="L94" s="106" t="str">
        <f t="shared" si="9"/>
        <v/>
      </c>
      <c r="M94" s="51" t="str">
        <f t="shared" si="11"/>
        <v/>
      </c>
      <c r="N94" s="51"/>
      <c r="O94" s="51" t="str">
        <f t="shared" si="12"/>
        <v xml:space="preserve"> </v>
      </c>
    </row>
    <row r="95" spans="3:20" ht="15" x14ac:dyDescent="0.25">
      <c r="H95" s="50" t="str">
        <f t="shared" si="13"/>
        <v xml:space="preserve"> </v>
      </c>
      <c r="I95" s="51" t="str">
        <f t="shared" si="7"/>
        <v/>
      </c>
      <c r="J95" s="106" t="str">
        <f t="shared" si="8"/>
        <v/>
      </c>
      <c r="K95" s="106" t="str">
        <f t="shared" si="10"/>
        <v xml:space="preserve"> </v>
      </c>
      <c r="L95" s="106" t="str">
        <f t="shared" si="9"/>
        <v/>
      </c>
      <c r="M95" s="51" t="str">
        <f t="shared" si="11"/>
        <v/>
      </c>
      <c r="N95" s="51"/>
      <c r="O95" s="51" t="str">
        <f t="shared" si="12"/>
        <v xml:space="preserve"> </v>
      </c>
    </row>
    <row r="96" spans="3:20" ht="15" x14ac:dyDescent="0.25">
      <c r="H96" s="50" t="str">
        <f t="shared" si="13"/>
        <v xml:space="preserve"> </v>
      </c>
      <c r="I96" s="51" t="str">
        <f t="shared" si="7"/>
        <v/>
      </c>
      <c r="J96" s="106" t="str">
        <f t="shared" si="8"/>
        <v/>
      </c>
      <c r="K96" s="106" t="str">
        <f t="shared" si="10"/>
        <v xml:space="preserve"> </v>
      </c>
      <c r="L96" s="106" t="str">
        <f t="shared" si="9"/>
        <v/>
      </c>
      <c r="M96" s="51" t="str">
        <f t="shared" si="11"/>
        <v/>
      </c>
      <c r="N96" s="51"/>
      <c r="O96" s="51" t="str">
        <f t="shared" si="12"/>
        <v xml:space="preserve"> </v>
      </c>
    </row>
    <row r="97" spans="8:15" ht="15" x14ac:dyDescent="0.25">
      <c r="H97" s="50" t="str">
        <f t="shared" si="13"/>
        <v xml:space="preserve"> </v>
      </c>
      <c r="I97" s="51" t="str">
        <f t="shared" si="7"/>
        <v/>
      </c>
      <c r="J97" s="106" t="str">
        <f t="shared" si="8"/>
        <v/>
      </c>
      <c r="K97" s="106" t="str">
        <f t="shared" si="10"/>
        <v xml:space="preserve"> </v>
      </c>
      <c r="L97" s="106" t="str">
        <f t="shared" si="9"/>
        <v/>
      </c>
      <c r="M97" s="51" t="str">
        <f t="shared" si="11"/>
        <v/>
      </c>
      <c r="N97" s="51"/>
      <c r="O97" s="51" t="str">
        <f t="shared" si="12"/>
        <v xml:space="preserve"> </v>
      </c>
    </row>
    <row r="98" spans="8:15" ht="15" x14ac:dyDescent="0.25">
      <c r="H98" s="50" t="str">
        <f t="shared" si="13"/>
        <v xml:space="preserve"> </v>
      </c>
      <c r="I98" s="51" t="str">
        <f t="shared" si="7"/>
        <v/>
      </c>
      <c r="J98" s="106" t="str">
        <f t="shared" si="8"/>
        <v/>
      </c>
      <c r="K98" s="106" t="str">
        <f t="shared" si="10"/>
        <v xml:space="preserve"> </v>
      </c>
      <c r="L98" s="106" t="str">
        <f t="shared" si="9"/>
        <v/>
      </c>
      <c r="M98" s="51" t="str">
        <f t="shared" si="11"/>
        <v/>
      </c>
      <c r="N98" s="51"/>
      <c r="O98" s="51" t="str">
        <f t="shared" si="12"/>
        <v xml:space="preserve"> </v>
      </c>
    </row>
    <row r="99" spans="8:15" ht="15" x14ac:dyDescent="0.25">
      <c r="H99" s="50" t="str">
        <f t="shared" si="13"/>
        <v xml:space="preserve"> </v>
      </c>
      <c r="I99" s="51" t="str">
        <f t="shared" si="7"/>
        <v/>
      </c>
      <c r="J99" s="106" t="str">
        <f t="shared" si="8"/>
        <v/>
      </c>
      <c r="K99" s="106" t="str">
        <f t="shared" si="10"/>
        <v xml:space="preserve"> </v>
      </c>
      <c r="L99" s="106" t="str">
        <f t="shared" si="9"/>
        <v/>
      </c>
      <c r="M99" s="51" t="str">
        <f t="shared" si="11"/>
        <v/>
      </c>
      <c r="N99" s="51"/>
      <c r="O99" s="51" t="str">
        <f t="shared" si="12"/>
        <v xml:space="preserve"> </v>
      </c>
    </row>
    <row r="100" spans="8:15" ht="15" x14ac:dyDescent="0.25">
      <c r="H100" s="50" t="str">
        <f t="shared" si="13"/>
        <v xml:space="preserve"> </v>
      </c>
      <c r="I100" s="51" t="str">
        <f t="shared" si="7"/>
        <v/>
      </c>
      <c r="J100" s="106" t="str">
        <f t="shared" si="8"/>
        <v/>
      </c>
      <c r="K100" s="106" t="str">
        <f t="shared" si="10"/>
        <v xml:space="preserve"> </v>
      </c>
      <c r="L100" s="106" t="str">
        <f t="shared" si="9"/>
        <v/>
      </c>
      <c r="M100" s="51" t="str">
        <f t="shared" si="11"/>
        <v/>
      </c>
      <c r="N100" s="51"/>
      <c r="O100" s="51" t="str">
        <f t="shared" si="12"/>
        <v xml:space="preserve"> </v>
      </c>
    </row>
    <row r="101" spans="8:15" ht="15" x14ac:dyDescent="0.25">
      <c r="H101" s="50" t="str">
        <f t="shared" si="13"/>
        <v xml:space="preserve"> </v>
      </c>
      <c r="I101" s="51" t="str">
        <f t="shared" si="7"/>
        <v/>
      </c>
      <c r="J101" s="106" t="str">
        <f t="shared" si="8"/>
        <v/>
      </c>
      <c r="K101" s="106" t="str">
        <f t="shared" si="10"/>
        <v xml:space="preserve"> </v>
      </c>
      <c r="L101" s="106" t="str">
        <f t="shared" si="9"/>
        <v/>
      </c>
      <c r="M101" s="51" t="str">
        <f t="shared" si="11"/>
        <v/>
      </c>
      <c r="N101" s="51"/>
      <c r="O101" s="51" t="str">
        <f t="shared" si="12"/>
        <v xml:space="preserve"> </v>
      </c>
    </row>
    <row r="102" spans="8:15" ht="15" x14ac:dyDescent="0.25">
      <c r="H102" s="50" t="str">
        <f t="shared" si="13"/>
        <v xml:space="preserve"> </v>
      </c>
      <c r="I102" s="51" t="str">
        <f t="shared" si="7"/>
        <v/>
      </c>
      <c r="J102" s="106" t="str">
        <f t="shared" si="8"/>
        <v/>
      </c>
      <c r="K102" s="106" t="str">
        <f t="shared" si="10"/>
        <v xml:space="preserve"> </v>
      </c>
      <c r="L102" s="106" t="str">
        <f t="shared" si="9"/>
        <v/>
      </c>
      <c r="M102" s="51" t="str">
        <f t="shared" si="11"/>
        <v/>
      </c>
      <c r="N102" s="51"/>
      <c r="O102" s="51" t="str">
        <f t="shared" si="12"/>
        <v xml:space="preserve"> </v>
      </c>
    </row>
    <row r="103" spans="8:15" ht="15" x14ac:dyDescent="0.25">
      <c r="H103" s="50" t="str">
        <f t="shared" si="13"/>
        <v xml:space="preserve"> </v>
      </c>
      <c r="I103" s="51" t="str">
        <f t="shared" si="7"/>
        <v/>
      </c>
      <c r="J103" s="106" t="str">
        <f t="shared" si="8"/>
        <v/>
      </c>
      <c r="K103" s="106" t="str">
        <f t="shared" si="10"/>
        <v xml:space="preserve"> </v>
      </c>
      <c r="L103" s="106" t="str">
        <f t="shared" si="9"/>
        <v/>
      </c>
      <c r="M103" s="51" t="str">
        <f t="shared" si="11"/>
        <v/>
      </c>
      <c r="N103" s="51"/>
      <c r="O103" s="51" t="str">
        <f t="shared" si="12"/>
        <v xml:space="preserve"> </v>
      </c>
    </row>
    <row r="104" spans="8:15" ht="15" x14ac:dyDescent="0.25">
      <c r="H104" s="50" t="str">
        <f t="shared" si="13"/>
        <v xml:space="preserve"> </v>
      </c>
      <c r="I104" s="51" t="str">
        <f t="shared" si="7"/>
        <v/>
      </c>
      <c r="J104" s="106" t="str">
        <f t="shared" si="8"/>
        <v/>
      </c>
      <c r="K104" s="106" t="str">
        <f t="shared" si="10"/>
        <v xml:space="preserve"> </v>
      </c>
      <c r="L104" s="106" t="str">
        <f t="shared" si="9"/>
        <v/>
      </c>
      <c r="M104" s="51" t="str">
        <f t="shared" si="11"/>
        <v/>
      </c>
      <c r="N104" s="51"/>
      <c r="O104" s="51" t="str">
        <f t="shared" si="12"/>
        <v xml:space="preserve"> </v>
      </c>
    </row>
    <row r="105" spans="8:15" ht="15" x14ac:dyDescent="0.25">
      <c r="H105" s="50" t="str">
        <f t="shared" si="13"/>
        <v xml:space="preserve"> </v>
      </c>
      <c r="I105" s="51" t="str">
        <f t="shared" si="7"/>
        <v/>
      </c>
      <c r="J105" s="106" t="str">
        <f t="shared" si="8"/>
        <v/>
      </c>
      <c r="K105" s="106" t="str">
        <f t="shared" si="10"/>
        <v xml:space="preserve"> </v>
      </c>
      <c r="L105" s="106" t="str">
        <f t="shared" si="9"/>
        <v/>
      </c>
      <c r="M105" s="51" t="str">
        <f t="shared" si="11"/>
        <v/>
      </c>
      <c r="N105" s="51"/>
      <c r="O105" s="51" t="str">
        <f t="shared" si="12"/>
        <v xml:space="preserve"> </v>
      </c>
    </row>
    <row r="106" spans="8:15" ht="15" x14ac:dyDescent="0.25">
      <c r="H106" s="50" t="str">
        <f t="shared" si="13"/>
        <v xml:space="preserve"> </v>
      </c>
      <c r="I106" s="51" t="str">
        <f t="shared" si="7"/>
        <v/>
      </c>
      <c r="J106" s="106" t="str">
        <f t="shared" si="8"/>
        <v/>
      </c>
      <c r="K106" s="106" t="str">
        <f t="shared" si="10"/>
        <v xml:space="preserve"> </v>
      </c>
      <c r="L106" s="106" t="str">
        <f t="shared" si="9"/>
        <v/>
      </c>
      <c r="M106" s="51" t="str">
        <f t="shared" si="11"/>
        <v/>
      </c>
      <c r="N106" s="51"/>
      <c r="O106" s="51" t="str">
        <f t="shared" si="12"/>
        <v xml:space="preserve"> </v>
      </c>
    </row>
    <row r="107" spans="8:15" ht="15" x14ac:dyDescent="0.25">
      <c r="H107" s="50" t="str">
        <f t="shared" si="13"/>
        <v xml:space="preserve"> </v>
      </c>
      <c r="I107" s="51" t="str">
        <f t="shared" si="7"/>
        <v/>
      </c>
      <c r="J107" s="106" t="str">
        <f t="shared" si="8"/>
        <v/>
      </c>
      <c r="K107" s="106" t="str">
        <f t="shared" si="10"/>
        <v xml:space="preserve"> </v>
      </c>
      <c r="L107" s="106" t="str">
        <f t="shared" si="9"/>
        <v/>
      </c>
      <c r="M107" s="51" t="str">
        <f t="shared" si="11"/>
        <v/>
      </c>
      <c r="N107" s="51"/>
      <c r="O107" s="51" t="str">
        <f t="shared" si="12"/>
        <v xml:space="preserve"> </v>
      </c>
    </row>
    <row r="108" spans="8:15" ht="15" x14ac:dyDescent="0.25">
      <c r="H108" s="50" t="str">
        <f t="shared" si="13"/>
        <v xml:space="preserve"> </v>
      </c>
      <c r="I108" s="51" t="str">
        <f t="shared" si="7"/>
        <v/>
      </c>
      <c r="J108" s="106" t="str">
        <f t="shared" si="8"/>
        <v/>
      </c>
      <c r="K108" s="106" t="str">
        <f t="shared" si="10"/>
        <v xml:space="preserve"> </v>
      </c>
      <c r="L108" s="106" t="str">
        <f t="shared" si="9"/>
        <v/>
      </c>
      <c r="M108" s="51" t="str">
        <f t="shared" si="11"/>
        <v/>
      </c>
      <c r="N108" s="51"/>
      <c r="O108" s="51" t="str">
        <f t="shared" si="12"/>
        <v xml:space="preserve"> </v>
      </c>
    </row>
    <row r="109" spans="8:15" ht="15" x14ac:dyDescent="0.25">
      <c r="H109" s="50" t="str">
        <f t="shared" si="13"/>
        <v xml:space="preserve"> </v>
      </c>
      <c r="I109" s="51" t="str">
        <f t="shared" si="7"/>
        <v/>
      </c>
      <c r="J109" s="106" t="str">
        <f t="shared" si="8"/>
        <v/>
      </c>
      <c r="K109" s="106" t="str">
        <f t="shared" si="10"/>
        <v xml:space="preserve"> </v>
      </c>
      <c r="L109" s="106" t="str">
        <f t="shared" si="9"/>
        <v/>
      </c>
      <c r="M109" s="51" t="str">
        <f t="shared" si="11"/>
        <v/>
      </c>
      <c r="N109" s="51"/>
      <c r="O109" s="51" t="str">
        <f t="shared" si="12"/>
        <v xml:space="preserve"> </v>
      </c>
    </row>
    <row r="110" spans="8:15" ht="15" x14ac:dyDescent="0.25">
      <c r="H110" s="50" t="str">
        <f t="shared" si="13"/>
        <v xml:space="preserve"> </v>
      </c>
      <c r="I110" s="51" t="str">
        <f t="shared" si="7"/>
        <v/>
      </c>
      <c r="J110" s="106" t="str">
        <f t="shared" si="8"/>
        <v/>
      </c>
      <c r="K110" s="106" t="str">
        <f t="shared" si="10"/>
        <v xml:space="preserve"> </v>
      </c>
      <c r="L110" s="106" t="str">
        <f t="shared" si="9"/>
        <v/>
      </c>
      <c r="M110" s="51" t="str">
        <f t="shared" si="11"/>
        <v/>
      </c>
      <c r="N110" s="51"/>
      <c r="O110" s="51" t="str">
        <f t="shared" si="12"/>
        <v xml:space="preserve"> </v>
      </c>
    </row>
    <row r="111" spans="8:15" ht="15" x14ac:dyDescent="0.25">
      <c r="H111" s="50" t="str">
        <f t="shared" si="13"/>
        <v xml:space="preserve"> </v>
      </c>
      <c r="I111" s="51" t="str">
        <f t="shared" si="7"/>
        <v/>
      </c>
      <c r="J111" s="106" t="str">
        <f t="shared" si="8"/>
        <v/>
      </c>
      <c r="K111" s="106" t="str">
        <f t="shared" si="10"/>
        <v xml:space="preserve"> </v>
      </c>
      <c r="L111" s="106" t="str">
        <f t="shared" si="9"/>
        <v/>
      </c>
      <c r="M111" s="51" t="str">
        <f t="shared" si="11"/>
        <v/>
      </c>
      <c r="N111" s="51"/>
      <c r="O111" s="51" t="str">
        <f t="shared" si="12"/>
        <v xml:space="preserve"> </v>
      </c>
    </row>
    <row r="112" spans="8:15" ht="15" x14ac:dyDescent="0.25">
      <c r="H112" s="50" t="str">
        <f t="shared" si="13"/>
        <v xml:space="preserve"> </v>
      </c>
      <c r="I112" s="51" t="str">
        <f t="shared" si="7"/>
        <v/>
      </c>
      <c r="J112" s="106" t="str">
        <f t="shared" si="8"/>
        <v/>
      </c>
      <c r="K112" s="106" t="str">
        <f t="shared" si="10"/>
        <v xml:space="preserve"> </v>
      </c>
      <c r="L112" s="106" t="str">
        <f t="shared" si="9"/>
        <v/>
      </c>
      <c r="M112" s="51" t="str">
        <f t="shared" si="11"/>
        <v/>
      </c>
      <c r="N112" s="51"/>
      <c r="O112" s="51" t="str">
        <f t="shared" si="12"/>
        <v xml:space="preserve"> </v>
      </c>
    </row>
    <row r="113" spans="8:15" ht="15" x14ac:dyDescent="0.25">
      <c r="H113" s="50" t="str">
        <f t="shared" si="13"/>
        <v xml:space="preserve"> </v>
      </c>
      <c r="I113" s="51" t="str">
        <f t="shared" si="7"/>
        <v/>
      </c>
      <c r="J113" s="106" t="str">
        <f t="shared" si="8"/>
        <v/>
      </c>
      <c r="K113" s="106" t="str">
        <f t="shared" si="10"/>
        <v xml:space="preserve"> </v>
      </c>
      <c r="L113" s="106" t="str">
        <f t="shared" si="9"/>
        <v/>
      </c>
      <c r="M113" s="51" t="str">
        <f t="shared" si="11"/>
        <v/>
      </c>
      <c r="N113" s="51"/>
      <c r="O113" s="51" t="str">
        <f t="shared" si="12"/>
        <v xml:space="preserve"> </v>
      </c>
    </row>
    <row r="114" spans="8:15" ht="15" x14ac:dyDescent="0.25">
      <c r="H114" s="50" t="str">
        <f t="shared" si="13"/>
        <v xml:space="preserve"> </v>
      </c>
      <c r="I114" s="51" t="str">
        <f t="shared" si="7"/>
        <v/>
      </c>
      <c r="J114" s="106" t="str">
        <f t="shared" si="8"/>
        <v/>
      </c>
      <c r="K114" s="106" t="str">
        <f t="shared" si="10"/>
        <v xml:space="preserve"> </v>
      </c>
      <c r="L114" s="106" t="str">
        <f t="shared" si="9"/>
        <v/>
      </c>
      <c r="M114" s="51" t="str">
        <f t="shared" si="11"/>
        <v/>
      </c>
      <c r="N114" s="51"/>
      <c r="O114" s="51" t="str">
        <f t="shared" si="12"/>
        <v xml:space="preserve"> </v>
      </c>
    </row>
    <row r="115" spans="8:15" ht="15" x14ac:dyDescent="0.25">
      <c r="H115" s="50" t="str">
        <f t="shared" si="13"/>
        <v xml:space="preserve"> </v>
      </c>
      <c r="I115" s="51" t="str">
        <f t="shared" si="7"/>
        <v/>
      </c>
      <c r="J115" s="106" t="str">
        <f t="shared" si="8"/>
        <v/>
      </c>
      <c r="K115" s="106" t="str">
        <f t="shared" si="10"/>
        <v xml:space="preserve"> </v>
      </c>
      <c r="L115" s="106" t="str">
        <f t="shared" si="9"/>
        <v/>
      </c>
      <c r="M115" s="51" t="str">
        <f t="shared" si="11"/>
        <v/>
      </c>
      <c r="N115" s="51"/>
      <c r="O115" s="51" t="str">
        <f t="shared" si="12"/>
        <v xml:space="preserve"> </v>
      </c>
    </row>
    <row r="116" spans="8:15" ht="15" x14ac:dyDescent="0.25">
      <c r="H116" s="50" t="str">
        <f t="shared" si="13"/>
        <v xml:space="preserve"> </v>
      </c>
      <c r="I116" s="51" t="str">
        <f t="shared" si="7"/>
        <v/>
      </c>
      <c r="J116" s="106" t="str">
        <f t="shared" si="8"/>
        <v/>
      </c>
      <c r="K116" s="106" t="str">
        <f t="shared" si="10"/>
        <v xml:space="preserve"> </v>
      </c>
      <c r="L116" s="106" t="str">
        <f t="shared" si="9"/>
        <v/>
      </c>
      <c r="M116" s="51" t="str">
        <f t="shared" si="11"/>
        <v/>
      </c>
      <c r="N116" s="51"/>
      <c r="O116" s="51" t="str">
        <f t="shared" si="12"/>
        <v xml:space="preserve"> </v>
      </c>
    </row>
    <row r="117" spans="8:15" ht="15" x14ac:dyDescent="0.25">
      <c r="H117" s="50" t="str">
        <f t="shared" si="13"/>
        <v xml:space="preserve"> </v>
      </c>
      <c r="I117" s="51" t="str">
        <f t="shared" si="7"/>
        <v/>
      </c>
      <c r="J117" s="106" t="str">
        <f t="shared" si="8"/>
        <v/>
      </c>
      <c r="K117" s="106" t="str">
        <f t="shared" si="10"/>
        <v xml:space="preserve"> </v>
      </c>
      <c r="L117" s="106" t="str">
        <f t="shared" si="9"/>
        <v/>
      </c>
      <c r="M117" s="51" t="str">
        <f t="shared" si="11"/>
        <v/>
      </c>
      <c r="N117" s="51"/>
      <c r="O117" s="51" t="str">
        <f t="shared" si="12"/>
        <v xml:space="preserve"> </v>
      </c>
    </row>
    <row r="118" spans="8:15" ht="15" x14ac:dyDescent="0.25">
      <c r="H118" s="50" t="str">
        <f t="shared" si="13"/>
        <v xml:space="preserve"> </v>
      </c>
      <c r="I118" s="51" t="str">
        <f t="shared" si="7"/>
        <v/>
      </c>
      <c r="J118" s="106" t="str">
        <f t="shared" si="8"/>
        <v/>
      </c>
      <c r="K118" s="106" t="str">
        <f t="shared" si="10"/>
        <v xml:space="preserve"> </v>
      </c>
      <c r="L118" s="106" t="str">
        <f t="shared" si="9"/>
        <v/>
      </c>
      <c r="M118" s="51" t="str">
        <f t="shared" si="11"/>
        <v/>
      </c>
      <c r="N118" s="51"/>
      <c r="O118" s="51" t="str">
        <f t="shared" si="12"/>
        <v xml:space="preserve"> </v>
      </c>
    </row>
    <row r="119" spans="8:15" ht="15" x14ac:dyDescent="0.25">
      <c r="H119" s="50" t="str">
        <f t="shared" si="13"/>
        <v xml:space="preserve"> </v>
      </c>
      <c r="I119" s="51" t="str">
        <f t="shared" si="7"/>
        <v/>
      </c>
      <c r="J119" s="106" t="str">
        <f t="shared" si="8"/>
        <v/>
      </c>
      <c r="K119" s="106" t="str">
        <f t="shared" si="10"/>
        <v xml:space="preserve"> </v>
      </c>
      <c r="L119" s="106" t="str">
        <f t="shared" si="9"/>
        <v/>
      </c>
      <c r="M119" s="51" t="str">
        <f t="shared" si="11"/>
        <v/>
      </c>
      <c r="N119" s="51"/>
      <c r="O119" s="51" t="str">
        <f t="shared" si="12"/>
        <v xml:space="preserve"> </v>
      </c>
    </row>
    <row r="120" spans="8:15" ht="15" x14ac:dyDescent="0.25">
      <c r="H120" s="50" t="str">
        <f t="shared" si="13"/>
        <v xml:space="preserve"> </v>
      </c>
      <c r="I120" s="51" t="str">
        <f t="shared" si="7"/>
        <v/>
      </c>
      <c r="J120" s="106" t="str">
        <f t="shared" si="8"/>
        <v/>
      </c>
      <c r="K120" s="106" t="str">
        <f t="shared" si="10"/>
        <v xml:space="preserve"> </v>
      </c>
      <c r="L120" s="106" t="str">
        <f t="shared" si="9"/>
        <v/>
      </c>
      <c r="M120" s="51" t="str">
        <f t="shared" si="11"/>
        <v/>
      </c>
      <c r="N120" s="51"/>
      <c r="O120" s="51" t="str">
        <f t="shared" si="12"/>
        <v xml:space="preserve"> </v>
      </c>
    </row>
    <row r="121" spans="8:15" ht="15" x14ac:dyDescent="0.25">
      <c r="H121" s="50" t="str">
        <f t="shared" si="13"/>
        <v xml:space="preserve"> </v>
      </c>
      <c r="I121" s="51" t="str">
        <f t="shared" si="7"/>
        <v/>
      </c>
      <c r="J121" s="106" t="str">
        <f t="shared" si="8"/>
        <v/>
      </c>
      <c r="K121" s="106" t="str">
        <f t="shared" si="10"/>
        <v xml:space="preserve"> </v>
      </c>
      <c r="L121" s="106" t="str">
        <f t="shared" si="9"/>
        <v/>
      </c>
      <c r="M121" s="51" t="str">
        <f t="shared" si="11"/>
        <v/>
      </c>
      <c r="N121" s="51"/>
      <c r="O121" s="51" t="str">
        <f t="shared" si="12"/>
        <v xml:space="preserve"> </v>
      </c>
    </row>
    <row r="122" spans="8:15" ht="15" x14ac:dyDescent="0.25">
      <c r="H122" s="50" t="str">
        <f t="shared" si="13"/>
        <v xml:space="preserve"> </v>
      </c>
      <c r="I122" s="51" t="str">
        <f t="shared" si="7"/>
        <v/>
      </c>
      <c r="J122" s="106" t="str">
        <f t="shared" si="8"/>
        <v/>
      </c>
      <c r="K122" s="106" t="str">
        <f t="shared" si="10"/>
        <v xml:space="preserve"> </v>
      </c>
      <c r="L122" s="106" t="str">
        <f t="shared" si="9"/>
        <v/>
      </c>
      <c r="M122" s="51" t="str">
        <f t="shared" si="11"/>
        <v/>
      </c>
      <c r="N122" s="51"/>
      <c r="O122" s="51" t="str">
        <f t="shared" si="12"/>
        <v xml:space="preserve"> </v>
      </c>
    </row>
    <row r="123" spans="8:15" ht="15" x14ac:dyDescent="0.25">
      <c r="H123" s="50" t="str">
        <f t="shared" si="13"/>
        <v xml:space="preserve"> </v>
      </c>
      <c r="I123" s="51" t="str">
        <f t="shared" si="7"/>
        <v/>
      </c>
      <c r="J123" s="106" t="str">
        <f t="shared" si="8"/>
        <v/>
      </c>
      <c r="K123" s="106" t="str">
        <f t="shared" si="10"/>
        <v xml:space="preserve"> </v>
      </c>
      <c r="L123" s="106" t="str">
        <f t="shared" si="9"/>
        <v/>
      </c>
      <c r="M123" s="51" t="str">
        <f t="shared" si="11"/>
        <v/>
      </c>
      <c r="N123" s="51"/>
      <c r="O123" s="51" t="str">
        <f t="shared" si="12"/>
        <v xml:space="preserve"> </v>
      </c>
    </row>
    <row r="124" spans="8:15" ht="15" x14ac:dyDescent="0.25">
      <c r="H124" s="50" t="str">
        <f t="shared" si="13"/>
        <v xml:space="preserve"> </v>
      </c>
      <c r="I124" s="51" t="str">
        <f t="shared" si="7"/>
        <v/>
      </c>
      <c r="J124" s="106" t="str">
        <f t="shared" si="8"/>
        <v/>
      </c>
      <c r="K124" s="106" t="str">
        <f t="shared" si="10"/>
        <v xml:space="preserve"> </v>
      </c>
      <c r="L124" s="106" t="str">
        <f t="shared" si="9"/>
        <v/>
      </c>
      <c r="M124" s="51" t="str">
        <f t="shared" si="11"/>
        <v/>
      </c>
      <c r="N124" s="51"/>
      <c r="O124" s="51" t="str">
        <f t="shared" si="12"/>
        <v xml:space="preserve"> </v>
      </c>
    </row>
    <row r="125" spans="8:15" ht="15" x14ac:dyDescent="0.25">
      <c r="H125" s="50" t="str">
        <f t="shared" si="13"/>
        <v xml:space="preserve"> </v>
      </c>
      <c r="I125" s="51" t="str">
        <f t="shared" si="7"/>
        <v/>
      </c>
      <c r="J125" s="106" t="str">
        <f t="shared" si="8"/>
        <v/>
      </c>
      <c r="K125" s="106" t="str">
        <f t="shared" si="10"/>
        <v xml:space="preserve"> </v>
      </c>
      <c r="L125" s="106" t="str">
        <f t="shared" si="9"/>
        <v/>
      </c>
      <c r="M125" s="51" t="str">
        <f t="shared" si="11"/>
        <v/>
      </c>
      <c r="N125" s="51"/>
      <c r="O125" s="51" t="str">
        <f t="shared" si="12"/>
        <v xml:space="preserve"> </v>
      </c>
    </row>
    <row r="126" spans="8:15" ht="15" x14ac:dyDescent="0.25">
      <c r="H126" s="50" t="str">
        <f t="shared" si="13"/>
        <v xml:space="preserve"> </v>
      </c>
      <c r="I126" s="51" t="str">
        <f t="shared" si="7"/>
        <v/>
      </c>
      <c r="J126" s="106" t="str">
        <f t="shared" si="8"/>
        <v/>
      </c>
      <c r="K126" s="106" t="str">
        <f t="shared" si="10"/>
        <v xml:space="preserve"> </v>
      </c>
      <c r="L126" s="106" t="str">
        <f t="shared" si="9"/>
        <v/>
      </c>
      <c r="M126" s="51" t="str">
        <f t="shared" si="11"/>
        <v/>
      </c>
      <c r="N126" s="51"/>
      <c r="O126" s="51" t="str">
        <f t="shared" si="12"/>
        <v xml:space="preserve"> </v>
      </c>
    </row>
    <row r="127" spans="8:15" ht="15" x14ac:dyDescent="0.25">
      <c r="H127" s="50" t="str">
        <f t="shared" si="13"/>
        <v xml:space="preserve"> </v>
      </c>
      <c r="I127" s="51" t="str">
        <f t="shared" si="7"/>
        <v/>
      </c>
      <c r="J127" s="106" t="str">
        <f t="shared" si="8"/>
        <v/>
      </c>
      <c r="K127" s="106" t="str">
        <f t="shared" si="10"/>
        <v xml:space="preserve"> </v>
      </c>
      <c r="L127" s="106" t="str">
        <f t="shared" si="9"/>
        <v/>
      </c>
      <c r="M127" s="51" t="str">
        <f t="shared" si="11"/>
        <v/>
      </c>
      <c r="N127" s="51"/>
      <c r="O127" s="51" t="str">
        <f t="shared" si="12"/>
        <v xml:space="preserve"> </v>
      </c>
    </row>
    <row r="128" spans="8:15" ht="15" x14ac:dyDescent="0.25">
      <c r="H128" s="50" t="str">
        <f t="shared" si="13"/>
        <v xml:space="preserve"> </v>
      </c>
      <c r="I128" s="51" t="str">
        <f t="shared" si="7"/>
        <v/>
      </c>
      <c r="J128" s="106" t="str">
        <f t="shared" si="8"/>
        <v/>
      </c>
      <c r="K128" s="106" t="str">
        <f t="shared" si="10"/>
        <v xml:space="preserve"> </v>
      </c>
      <c r="L128" s="106" t="str">
        <f t="shared" si="9"/>
        <v/>
      </c>
      <c r="M128" s="51" t="str">
        <f t="shared" si="11"/>
        <v/>
      </c>
      <c r="N128" s="51"/>
      <c r="O128" s="51" t="str">
        <f t="shared" si="12"/>
        <v xml:space="preserve"> </v>
      </c>
    </row>
    <row r="129" spans="8:15" ht="15" x14ac:dyDescent="0.25">
      <c r="H129" s="50" t="str">
        <f t="shared" si="13"/>
        <v xml:space="preserve"> </v>
      </c>
      <c r="I129" s="51" t="str">
        <f t="shared" si="7"/>
        <v/>
      </c>
      <c r="J129" s="106" t="str">
        <f t="shared" si="8"/>
        <v/>
      </c>
      <c r="K129" s="106" t="str">
        <f t="shared" si="10"/>
        <v xml:space="preserve"> </v>
      </c>
      <c r="L129" s="106" t="str">
        <f t="shared" si="9"/>
        <v/>
      </c>
      <c r="M129" s="51" t="str">
        <f t="shared" si="11"/>
        <v/>
      </c>
      <c r="N129" s="51"/>
      <c r="O129" s="51" t="str">
        <f t="shared" si="12"/>
        <v xml:space="preserve"> </v>
      </c>
    </row>
    <row r="130" spans="8:15" ht="15" x14ac:dyDescent="0.25">
      <c r="H130" s="50" t="str">
        <f t="shared" si="13"/>
        <v xml:space="preserve"> </v>
      </c>
      <c r="I130" s="51" t="str">
        <f t="shared" si="7"/>
        <v/>
      </c>
      <c r="J130" s="106" t="str">
        <f t="shared" si="8"/>
        <v/>
      </c>
      <c r="K130" s="106" t="str">
        <f t="shared" si="10"/>
        <v xml:space="preserve"> </v>
      </c>
      <c r="L130" s="106" t="str">
        <f t="shared" si="9"/>
        <v/>
      </c>
      <c r="M130" s="51" t="str">
        <f t="shared" si="11"/>
        <v/>
      </c>
      <c r="N130" s="51"/>
      <c r="O130" s="51" t="str">
        <f t="shared" si="12"/>
        <v xml:space="preserve"> </v>
      </c>
    </row>
    <row r="131" spans="8:15" ht="15" x14ac:dyDescent="0.25">
      <c r="H131" s="50" t="str">
        <f t="shared" si="13"/>
        <v xml:space="preserve"> </v>
      </c>
      <c r="I131" s="51" t="str">
        <f t="shared" si="7"/>
        <v/>
      </c>
      <c r="J131" s="106" t="str">
        <f t="shared" si="8"/>
        <v/>
      </c>
      <c r="K131" s="106" t="str">
        <f t="shared" si="10"/>
        <v xml:space="preserve"> </v>
      </c>
      <c r="L131" s="106" t="str">
        <f t="shared" si="9"/>
        <v/>
      </c>
      <c r="M131" s="51" t="str">
        <f t="shared" si="11"/>
        <v/>
      </c>
      <c r="N131" s="51"/>
      <c r="O131" s="51" t="str">
        <f t="shared" si="12"/>
        <v xml:space="preserve"> </v>
      </c>
    </row>
    <row r="132" spans="8:15" ht="15" x14ac:dyDescent="0.25">
      <c r="H132" s="50" t="str">
        <f t="shared" si="13"/>
        <v xml:space="preserve"> </v>
      </c>
      <c r="I132" s="51" t="str">
        <f t="shared" si="7"/>
        <v/>
      </c>
      <c r="J132" s="106" t="str">
        <f t="shared" si="8"/>
        <v/>
      </c>
      <c r="K132" s="106" t="str">
        <f t="shared" si="10"/>
        <v xml:space="preserve"> </v>
      </c>
      <c r="L132" s="106" t="str">
        <f t="shared" si="9"/>
        <v/>
      </c>
      <c r="M132" s="51" t="str">
        <f t="shared" si="11"/>
        <v/>
      </c>
      <c r="N132" s="51"/>
      <c r="O132" s="51" t="str">
        <f t="shared" si="12"/>
        <v xml:space="preserve"> </v>
      </c>
    </row>
    <row r="133" spans="8:15" ht="15" x14ac:dyDescent="0.25">
      <c r="H133" s="50" t="str">
        <f t="shared" si="13"/>
        <v xml:space="preserve"> </v>
      </c>
      <c r="I133" s="51" t="str">
        <f t="shared" si="7"/>
        <v/>
      </c>
      <c r="J133" s="106" t="str">
        <f t="shared" si="8"/>
        <v/>
      </c>
      <c r="K133" s="106" t="str">
        <f t="shared" si="10"/>
        <v xml:space="preserve"> </v>
      </c>
      <c r="L133" s="106" t="str">
        <f t="shared" si="9"/>
        <v/>
      </c>
      <c r="M133" s="51" t="str">
        <f t="shared" si="11"/>
        <v/>
      </c>
      <c r="N133" s="51"/>
      <c r="O133" s="51" t="str">
        <f t="shared" si="12"/>
        <v xml:space="preserve"> </v>
      </c>
    </row>
    <row r="134" spans="8:15" ht="15" x14ac:dyDescent="0.25">
      <c r="H134" s="50" t="str">
        <f t="shared" si="13"/>
        <v xml:space="preserve"> </v>
      </c>
      <c r="I134" s="51" t="str">
        <f t="shared" si="7"/>
        <v/>
      </c>
      <c r="J134" s="106" t="str">
        <f t="shared" si="8"/>
        <v/>
      </c>
      <c r="K134" s="106" t="str">
        <f t="shared" si="10"/>
        <v xml:space="preserve"> </v>
      </c>
      <c r="L134" s="106" t="str">
        <f t="shared" si="9"/>
        <v/>
      </c>
      <c r="M134" s="51" t="str">
        <f t="shared" si="11"/>
        <v/>
      </c>
      <c r="N134" s="51"/>
      <c r="O134" s="51" t="str">
        <f t="shared" si="12"/>
        <v xml:space="preserve"> </v>
      </c>
    </row>
    <row r="135" spans="8:15" ht="15" x14ac:dyDescent="0.25">
      <c r="H135" s="50" t="str">
        <f t="shared" si="13"/>
        <v xml:space="preserve"> </v>
      </c>
      <c r="I135" s="51" t="str">
        <f t="shared" si="7"/>
        <v/>
      </c>
      <c r="J135" s="106" t="str">
        <f t="shared" si="8"/>
        <v/>
      </c>
      <c r="K135" s="106" t="str">
        <f t="shared" si="10"/>
        <v xml:space="preserve"> </v>
      </c>
      <c r="L135" s="106" t="str">
        <f t="shared" si="9"/>
        <v/>
      </c>
      <c r="M135" s="51" t="str">
        <f t="shared" si="11"/>
        <v/>
      </c>
      <c r="N135" s="51"/>
      <c r="O135" s="51" t="str">
        <f t="shared" si="12"/>
        <v xml:space="preserve"> </v>
      </c>
    </row>
    <row r="136" spans="8:15" ht="15" x14ac:dyDescent="0.25">
      <c r="H136" s="50" t="str">
        <f t="shared" si="13"/>
        <v xml:space="preserve"> </v>
      </c>
      <c r="I136" s="51" t="str">
        <f t="shared" si="7"/>
        <v/>
      </c>
      <c r="J136" s="106" t="str">
        <f t="shared" si="8"/>
        <v/>
      </c>
      <c r="K136" s="106" t="str">
        <f t="shared" si="10"/>
        <v xml:space="preserve"> </v>
      </c>
      <c r="L136" s="106" t="str">
        <f t="shared" si="9"/>
        <v/>
      </c>
      <c r="M136" s="51" t="str">
        <f t="shared" si="11"/>
        <v/>
      </c>
      <c r="N136" s="51"/>
      <c r="O136" s="51" t="str">
        <f t="shared" si="12"/>
        <v xml:space="preserve"> </v>
      </c>
    </row>
    <row r="137" spans="8:15" ht="15" x14ac:dyDescent="0.25">
      <c r="H137" s="50" t="str">
        <f t="shared" si="13"/>
        <v xml:space="preserve"> </v>
      </c>
      <c r="I137" s="51" t="str">
        <f t="shared" si="7"/>
        <v/>
      </c>
      <c r="J137" s="106" t="str">
        <f t="shared" si="8"/>
        <v/>
      </c>
      <c r="K137" s="106" t="str">
        <f t="shared" si="10"/>
        <v xml:space="preserve"> </v>
      </c>
      <c r="L137" s="106" t="str">
        <f t="shared" si="9"/>
        <v/>
      </c>
      <c r="M137" s="51" t="str">
        <f t="shared" si="11"/>
        <v/>
      </c>
      <c r="N137" s="51"/>
      <c r="O137" s="51" t="str">
        <f t="shared" si="12"/>
        <v xml:space="preserve"> </v>
      </c>
    </row>
    <row r="138" spans="8:15" ht="15" x14ac:dyDescent="0.25">
      <c r="H138" s="50" t="str">
        <f t="shared" si="13"/>
        <v xml:space="preserve"> </v>
      </c>
      <c r="I138" s="51" t="str">
        <f t="shared" si="7"/>
        <v/>
      </c>
      <c r="J138" s="106" t="str">
        <f t="shared" si="8"/>
        <v/>
      </c>
      <c r="K138" s="106" t="str">
        <f t="shared" si="10"/>
        <v xml:space="preserve"> </v>
      </c>
      <c r="L138" s="106" t="str">
        <f t="shared" si="9"/>
        <v/>
      </c>
      <c r="M138" s="51" t="str">
        <f t="shared" si="11"/>
        <v/>
      </c>
      <c r="N138" s="51"/>
      <c r="O138" s="51" t="str">
        <f t="shared" si="12"/>
        <v xml:space="preserve"> </v>
      </c>
    </row>
    <row r="139" spans="8:15" ht="15" x14ac:dyDescent="0.25">
      <c r="H139" s="50" t="str">
        <f t="shared" si="13"/>
        <v xml:space="preserve"> </v>
      </c>
      <c r="I139" s="51" t="str">
        <f t="shared" si="7"/>
        <v/>
      </c>
      <c r="J139" s="106" t="str">
        <f t="shared" si="8"/>
        <v/>
      </c>
      <c r="K139" s="106" t="str">
        <f t="shared" si="10"/>
        <v xml:space="preserve"> </v>
      </c>
      <c r="L139" s="106" t="str">
        <f t="shared" si="9"/>
        <v/>
      </c>
      <c r="M139" s="51" t="str">
        <f t="shared" si="11"/>
        <v/>
      </c>
      <c r="N139" s="51"/>
      <c r="O139" s="51" t="str">
        <f t="shared" si="12"/>
        <v xml:space="preserve"> </v>
      </c>
    </row>
    <row r="140" spans="8:15" ht="15" x14ac:dyDescent="0.25">
      <c r="H140" s="50" t="str">
        <f t="shared" si="13"/>
        <v xml:space="preserve"> </v>
      </c>
      <c r="I140" s="51" t="str">
        <f t="shared" si="7"/>
        <v/>
      </c>
      <c r="J140" s="106" t="str">
        <f t="shared" si="8"/>
        <v/>
      </c>
      <c r="K140" s="106" t="str">
        <f t="shared" si="10"/>
        <v xml:space="preserve"> </v>
      </c>
      <c r="L140" s="106" t="str">
        <f t="shared" si="9"/>
        <v/>
      </c>
      <c r="M140" s="51" t="str">
        <f t="shared" si="11"/>
        <v/>
      </c>
      <c r="N140" s="51"/>
      <c r="O140" s="51" t="str">
        <f t="shared" si="12"/>
        <v xml:space="preserve"> </v>
      </c>
    </row>
    <row r="141" spans="8:15" ht="15" x14ac:dyDescent="0.25">
      <c r="H141" s="50" t="str">
        <f t="shared" si="13"/>
        <v xml:space="preserve"> </v>
      </c>
      <c r="I141" s="51" t="str">
        <f t="shared" si="7"/>
        <v/>
      </c>
      <c r="J141" s="106" t="str">
        <f t="shared" si="8"/>
        <v/>
      </c>
      <c r="K141" s="106" t="str">
        <f t="shared" si="10"/>
        <v xml:space="preserve"> </v>
      </c>
      <c r="L141" s="106" t="str">
        <f t="shared" si="9"/>
        <v/>
      </c>
      <c r="M141" s="51" t="str">
        <f t="shared" si="11"/>
        <v/>
      </c>
      <c r="N141" s="51"/>
      <c r="O141" s="51" t="str">
        <f t="shared" si="12"/>
        <v xml:space="preserve"> </v>
      </c>
    </row>
    <row r="142" spans="8:15" ht="15" x14ac:dyDescent="0.25">
      <c r="H142" s="50" t="str">
        <f t="shared" si="13"/>
        <v xml:space="preserve"> </v>
      </c>
      <c r="I142" s="51" t="str">
        <f t="shared" si="7"/>
        <v/>
      </c>
      <c r="J142" s="106" t="str">
        <f t="shared" si="8"/>
        <v/>
      </c>
      <c r="K142" s="106" t="str">
        <f t="shared" si="10"/>
        <v xml:space="preserve"> </v>
      </c>
      <c r="L142" s="106" t="str">
        <f t="shared" si="9"/>
        <v/>
      </c>
      <c r="M142" s="51" t="str">
        <f t="shared" si="11"/>
        <v/>
      </c>
      <c r="N142" s="51"/>
      <c r="O142" s="51" t="str">
        <f t="shared" si="12"/>
        <v xml:space="preserve"> </v>
      </c>
    </row>
    <row r="143" spans="8:15" ht="15" x14ac:dyDescent="0.25">
      <c r="H143" s="50" t="str">
        <f t="shared" si="13"/>
        <v xml:space="preserve"> </v>
      </c>
      <c r="I143" s="51" t="str">
        <f t="shared" si="7"/>
        <v/>
      </c>
      <c r="J143" s="106" t="str">
        <f t="shared" si="8"/>
        <v/>
      </c>
      <c r="K143" s="106" t="str">
        <f t="shared" si="10"/>
        <v xml:space="preserve"> </v>
      </c>
      <c r="L143" s="106" t="str">
        <f t="shared" si="9"/>
        <v/>
      </c>
      <c r="M143" s="51" t="str">
        <f t="shared" si="11"/>
        <v/>
      </c>
      <c r="N143" s="51"/>
      <c r="O143" s="51" t="str">
        <f t="shared" si="12"/>
        <v xml:space="preserve"> </v>
      </c>
    </row>
    <row r="144" spans="8:15" ht="15" x14ac:dyDescent="0.25">
      <c r="H144" s="50" t="str">
        <f t="shared" si="13"/>
        <v xml:space="preserve"> </v>
      </c>
      <c r="I144" s="51" t="str">
        <f t="shared" ref="I144:I207" si="14">IF(H144&lt;=$D$32,(IF(H144&lt;=$D$20,IF(credito="Período de Gracia Total",0,$L$15*$D$27/$D$23),(IF(credito="Período de Gracia Parcial",$L$15/PV(($D$27/$D$23),$D$32-$D$20,-1),$L$15*(1+($D$27/$D$23))^$D$20/PV(($D$27/$D$23),$D$32-$D$20,-1))))),"")</f>
        <v/>
      </c>
      <c r="J144" s="106" t="str">
        <f t="shared" ref="J144:J207" si="15">IF(H144&lt;=$D$32,IF(H144&lt;=$D$20,IF(credito="Período de Gracia Total",0,L$15*$D$27/$D$23),L143*$D$27/$D$23),"")</f>
        <v/>
      </c>
      <c r="K144" s="106" t="str">
        <f t="shared" si="10"/>
        <v xml:space="preserve"> </v>
      </c>
      <c r="L144" s="106" t="str">
        <f t="shared" ref="L144:L207" si="16">IF(H144&lt;=$D$32,IF(H144&lt;=$D$20,IF(credito="Período de Gracia Total",$L$15*(1+($D$27/$D$23))^H144,L143-K144),L143-K144),"")</f>
        <v/>
      </c>
      <c r="M144" s="51" t="str">
        <f t="shared" si="11"/>
        <v/>
      </c>
      <c r="N144" s="51"/>
      <c r="O144" s="51" t="str">
        <f t="shared" si="12"/>
        <v xml:space="preserve"> </v>
      </c>
    </row>
    <row r="145" spans="8:15" ht="15" x14ac:dyDescent="0.25">
      <c r="H145" s="50" t="str">
        <f t="shared" si="13"/>
        <v xml:space="preserve"> </v>
      </c>
      <c r="I145" s="51" t="str">
        <f t="shared" si="14"/>
        <v/>
      </c>
      <c r="J145" s="106" t="str">
        <f t="shared" si="15"/>
        <v/>
      </c>
      <c r="K145" s="106" t="str">
        <f t="shared" ref="K145:K208" si="17">IF(H145&lt;=$T$15,I145-J145," ")</f>
        <v xml:space="preserve"> </v>
      </c>
      <c r="L145" s="106" t="str">
        <f t="shared" si="16"/>
        <v/>
      </c>
      <c r="M145" s="51" t="str">
        <f t="shared" ref="M145:M208" si="18">IF(H145&lt;=$D$32,M144+K145,"")</f>
        <v/>
      </c>
      <c r="N145" s="51"/>
      <c r="O145" s="51" t="str">
        <f t="shared" ref="O145:O208" si="19">IF(H145&lt;=$T$15,-I145," ")</f>
        <v xml:space="preserve"> </v>
      </c>
    </row>
    <row r="146" spans="8:15" ht="15" x14ac:dyDescent="0.25">
      <c r="H146" s="50" t="str">
        <f t="shared" ref="H146:H209" si="20">IF($H145&gt;=$T$15," ",H145+1)</f>
        <v xml:space="preserve"> </v>
      </c>
      <c r="I146" s="51" t="str">
        <f t="shared" si="14"/>
        <v/>
      </c>
      <c r="J146" s="106" t="str">
        <f t="shared" si="15"/>
        <v/>
      </c>
      <c r="K146" s="106" t="str">
        <f t="shared" si="17"/>
        <v xml:space="preserve"> </v>
      </c>
      <c r="L146" s="106" t="str">
        <f t="shared" si="16"/>
        <v/>
      </c>
      <c r="M146" s="51" t="str">
        <f t="shared" si="18"/>
        <v/>
      </c>
      <c r="N146" s="51"/>
      <c r="O146" s="51" t="str">
        <f t="shared" si="19"/>
        <v xml:space="preserve"> </v>
      </c>
    </row>
    <row r="147" spans="8:15" ht="15" x14ac:dyDescent="0.25">
      <c r="H147" s="50" t="str">
        <f t="shared" si="20"/>
        <v xml:space="preserve"> </v>
      </c>
      <c r="I147" s="51" t="str">
        <f t="shared" si="14"/>
        <v/>
      </c>
      <c r="J147" s="106" t="str">
        <f t="shared" si="15"/>
        <v/>
      </c>
      <c r="K147" s="106" t="str">
        <f t="shared" si="17"/>
        <v xml:space="preserve"> </v>
      </c>
      <c r="L147" s="106" t="str">
        <f t="shared" si="16"/>
        <v/>
      </c>
      <c r="M147" s="51" t="str">
        <f t="shared" si="18"/>
        <v/>
      </c>
      <c r="N147" s="51"/>
      <c r="O147" s="51" t="str">
        <f t="shared" si="19"/>
        <v xml:space="preserve"> </v>
      </c>
    </row>
    <row r="148" spans="8:15" ht="15" x14ac:dyDescent="0.25">
      <c r="H148" s="50" t="str">
        <f t="shared" si="20"/>
        <v xml:space="preserve"> </v>
      </c>
      <c r="I148" s="51" t="str">
        <f t="shared" si="14"/>
        <v/>
      </c>
      <c r="J148" s="106" t="str">
        <f t="shared" si="15"/>
        <v/>
      </c>
      <c r="K148" s="106" t="str">
        <f t="shared" si="17"/>
        <v xml:space="preserve"> </v>
      </c>
      <c r="L148" s="106" t="str">
        <f t="shared" si="16"/>
        <v/>
      </c>
      <c r="M148" s="51" t="str">
        <f t="shared" si="18"/>
        <v/>
      </c>
      <c r="N148" s="51"/>
      <c r="O148" s="51" t="str">
        <f t="shared" si="19"/>
        <v xml:space="preserve"> </v>
      </c>
    </row>
    <row r="149" spans="8:15" ht="15" x14ac:dyDescent="0.25">
      <c r="H149" s="50" t="str">
        <f t="shared" si="20"/>
        <v xml:space="preserve"> </v>
      </c>
      <c r="I149" s="51" t="str">
        <f t="shared" si="14"/>
        <v/>
      </c>
      <c r="J149" s="106" t="str">
        <f t="shared" si="15"/>
        <v/>
      </c>
      <c r="K149" s="106" t="str">
        <f t="shared" si="17"/>
        <v xml:space="preserve"> </v>
      </c>
      <c r="L149" s="106" t="str">
        <f t="shared" si="16"/>
        <v/>
      </c>
      <c r="M149" s="51" t="str">
        <f t="shared" si="18"/>
        <v/>
      </c>
      <c r="N149" s="51"/>
      <c r="O149" s="51" t="str">
        <f t="shared" si="19"/>
        <v xml:space="preserve"> </v>
      </c>
    </row>
    <row r="150" spans="8:15" ht="15" x14ac:dyDescent="0.25">
      <c r="H150" s="50" t="str">
        <f t="shared" si="20"/>
        <v xml:space="preserve"> </v>
      </c>
      <c r="I150" s="51" t="str">
        <f t="shared" si="14"/>
        <v/>
      </c>
      <c r="J150" s="106" t="str">
        <f t="shared" si="15"/>
        <v/>
      </c>
      <c r="K150" s="106" t="str">
        <f t="shared" si="17"/>
        <v xml:space="preserve"> </v>
      </c>
      <c r="L150" s="106" t="str">
        <f t="shared" si="16"/>
        <v/>
      </c>
      <c r="M150" s="51" t="str">
        <f t="shared" si="18"/>
        <v/>
      </c>
      <c r="N150" s="51"/>
      <c r="O150" s="51" t="str">
        <f t="shared" si="19"/>
        <v xml:space="preserve"> </v>
      </c>
    </row>
    <row r="151" spans="8:15" ht="15" x14ac:dyDescent="0.25">
      <c r="H151" s="50" t="str">
        <f t="shared" si="20"/>
        <v xml:space="preserve"> </v>
      </c>
      <c r="I151" s="51" t="str">
        <f t="shared" si="14"/>
        <v/>
      </c>
      <c r="J151" s="106" t="str">
        <f t="shared" si="15"/>
        <v/>
      </c>
      <c r="K151" s="106" t="str">
        <f t="shared" si="17"/>
        <v xml:space="preserve"> </v>
      </c>
      <c r="L151" s="106" t="str">
        <f t="shared" si="16"/>
        <v/>
      </c>
      <c r="M151" s="51" t="str">
        <f t="shared" si="18"/>
        <v/>
      </c>
      <c r="N151" s="51"/>
      <c r="O151" s="51" t="str">
        <f t="shared" si="19"/>
        <v xml:space="preserve"> </v>
      </c>
    </row>
    <row r="152" spans="8:15" ht="15" x14ac:dyDescent="0.25">
      <c r="H152" s="50" t="str">
        <f t="shared" si="20"/>
        <v xml:space="preserve"> </v>
      </c>
      <c r="I152" s="51" t="str">
        <f t="shared" si="14"/>
        <v/>
      </c>
      <c r="J152" s="106" t="str">
        <f t="shared" si="15"/>
        <v/>
      </c>
      <c r="K152" s="106" t="str">
        <f t="shared" si="17"/>
        <v xml:space="preserve"> </v>
      </c>
      <c r="L152" s="106" t="str">
        <f t="shared" si="16"/>
        <v/>
      </c>
      <c r="M152" s="51" t="str">
        <f t="shared" si="18"/>
        <v/>
      </c>
      <c r="N152" s="51"/>
      <c r="O152" s="51" t="str">
        <f t="shared" si="19"/>
        <v xml:space="preserve"> </v>
      </c>
    </row>
    <row r="153" spans="8:15" ht="15" x14ac:dyDescent="0.25">
      <c r="H153" s="50" t="str">
        <f t="shared" si="20"/>
        <v xml:space="preserve"> </v>
      </c>
      <c r="I153" s="51" t="str">
        <f t="shared" si="14"/>
        <v/>
      </c>
      <c r="J153" s="106" t="str">
        <f t="shared" si="15"/>
        <v/>
      </c>
      <c r="K153" s="106" t="str">
        <f t="shared" si="17"/>
        <v xml:space="preserve"> </v>
      </c>
      <c r="L153" s="106" t="str">
        <f t="shared" si="16"/>
        <v/>
      </c>
      <c r="M153" s="51" t="str">
        <f t="shared" si="18"/>
        <v/>
      </c>
      <c r="N153" s="51"/>
      <c r="O153" s="51" t="str">
        <f t="shared" si="19"/>
        <v xml:space="preserve"> </v>
      </c>
    </row>
    <row r="154" spans="8:15" ht="15" x14ac:dyDescent="0.25">
      <c r="H154" s="50" t="str">
        <f t="shared" si="20"/>
        <v xml:space="preserve"> </v>
      </c>
      <c r="I154" s="51" t="str">
        <f t="shared" si="14"/>
        <v/>
      </c>
      <c r="J154" s="106" t="str">
        <f t="shared" si="15"/>
        <v/>
      </c>
      <c r="K154" s="106" t="str">
        <f t="shared" si="17"/>
        <v xml:space="preserve"> </v>
      </c>
      <c r="L154" s="106" t="str">
        <f t="shared" si="16"/>
        <v/>
      </c>
      <c r="M154" s="51" t="str">
        <f t="shared" si="18"/>
        <v/>
      </c>
      <c r="N154" s="51"/>
      <c r="O154" s="51" t="str">
        <f t="shared" si="19"/>
        <v xml:space="preserve"> </v>
      </c>
    </row>
    <row r="155" spans="8:15" ht="15" x14ac:dyDescent="0.25">
      <c r="H155" s="50" t="str">
        <f t="shared" si="20"/>
        <v xml:space="preserve"> </v>
      </c>
      <c r="I155" s="51" t="str">
        <f t="shared" si="14"/>
        <v/>
      </c>
      <c r="J155" s="106" t="str">
        <f t="shared" si="15"/>
        <v/>
      </c>
      <c r="K155" s="106" t="str">
        <f t="shared" si="17"/>
        <v xml:space="preserve"> </v>
      </c>
      <c r="L155" s="106" t="str">
        <f t="shared" si="16"/>
        <v/>
      </c>
      <c r="M155" s="51" t="str">
        <f t="shared" si="18"/>
        <v/>
      </c>
      <c r="N155" s="51"/>
      <c r="O155" s="51" t="str">
        <f t="shared" si="19"/>
        <v xml:space="preserve"> </v>
      </c>
    </row>
    <row r="156" spans="8:15" ht="15" x14ac:dyDescent="0.25">
      <c r="H156" s="50" t="str">
        <f t="shared" si="20"/>
        <v xml:space="preserve"> </v>
      </c>
      <c r="I156" s="51" t="str">
        <f t="shared" si="14"/>
        <v/>
      </c>
      <c r="J156" s="106" t="str">
        <f t="shared" si="15"/>
        <v/>
      </c>
      <c r="K156" s="106" t="str">
        <f t="shared" si="17"/>
        <v xml:space="preserve"> </v>
      </c>
      <c r="L156" s="106" t="str">
        <f t="shared" si="16"/>
        <v/>
      </c>
      <c r="M156" s="51" t="str">
        <f t="shared" si="18"/>
        <v/>
      </c>
      <c r="N156" s="51"/>
      <c r="O156" s="51" t="str">
        <f t="shared" si="19"/>
        <v xml:space="preserve"> </v>
      </c>
    </row>
    <row r="157" spans="8:15" ht="15" x14ac:dyDescent="0.25">
      <c r="H157" s="50" t="str">
        <f t="shared" si="20"/>
        <v xml:space="preserve"> </v>
      </c>
      <c r="I157" s="51" t="str">
        <f t="shared" si="14"/>
        <v/>
      </c>
      <c r="J157" s="106" t="str">
        <f t="shared" si="15"/>
        <v/>
      </c>
      <c r="K157" s="106" t="str">
        <f t="shared" si="17"/>
        <v xml:space="preserve"> </v>
      </c>
      <c r="L157" s="106" t="str">
        <f t="shared" si="16"/>
        <v/>
      </c>
      <c r="M157" s="51" t="str">
        <f t="shared" si="18"/>
        <v/>
      </c>
      <c r="N157" s="51"/>
      <c r="O157" s="51" t="str">
        <f t="shared" si="19"/>
        <v xml:space="preserve"> </v>
      </c>
    </row>
    <row r="158" spans="8:15" ht="15" x14ac:dyDescent="0.25">
      <c r="H158" s="50" t="str">
        <f t="shared" si="20"/>
        <v xml:space="preserve"> </v>
      </c>
      <c r="I158" s="51" t="str">
        <f t="shared" si="14"/>
        <v/>
      </c>
      <c r="J158" s="106" t="str">
        <f t="shared" si="15"/>
        <v/>
      </c>
      <c r="K158" s="106" t="str">
        <f t="shared" si="17"/>
        <v xml:space="preserve"> </v>
      </c>
      <c r="L158" s="106" t="str">
        <f t="shared" si="16"/>
        <v/>
      </c>
      <c r="M158" s="51" t="str">
        <f t="shared" si="18"/>
        <v/>
      </c>
      <c r="N158" s="51"/>
      <c r="O158" s="51" t="str">
        <f t="shared" si="19"/>
        <v xml:space="preserve"> </v>
      </c>
    </row>
    <row r="159" spans="8:15" ht="15" x14ac:dyDescent="0.25">
      <c r="H159" s="50" t="str">
        <f t="shared" si="20"/>
        <v xml:space="preserve"> </v>
      </c>
      <c r="I159" s="51" t="str">
        <f t="shared" si="14"/>
        <v/>
      </c>
      <c r="J159" s="106" t="str">
        <f t="shared" si="15"/>
        <v/>
      </c>
      <c r="K159" s="106" t="str">
        <f t="shared" si="17"/>
        <v xml:space="preserve"> </v>
      </c>
      <c r="L159" s="106" t="str">
        <f t="shared" si="16"/>
        <v/>
      </c>
      <c r="M159" s="51" t="str">
        <f t="shared" si="18"/>
        <v/>
      </c>
      <c r="N159" s="51"/>
      <c r="O159" s="51" t="str">
        <f t="shared" si="19"/>
        <v xml:space="preserve"> </v>
      </c>
    </row>
    <row r="160" spans="8:15" ht="15" x14ac:dyDescent="0.25">
      <c r="H160" s="50" t="str">
        <f t="shared" si="20"/>
        <v xml:space="preserve"> </v>
      </c>
      <c r="I160" s="51" t="str">
        <f t="shared" si="14"/>
        <v/>
      </c>
      <c r="J160" s="106" t="str">
        <f t="shared" si="15"/>
        <v/>
      </c>
      <c r="K160" s="106" t="str">
        <f t="shared" si="17"/>
        <v xml:space="preserve"> </v>
      </c>
      <c r="L160" s="106" t="str">
        <f t="shared" si="16"/>
        <v/>
      </c>
      <c r="M160" s="51" t="str">
        <f t="shared" si="18"/>
        <v/>
      </c>
      <c r="N160" s="51"/>
      <c r="O160" s="51" t="str">
        <f t="shared" si="19"/>
        <v xml:space="preserve"> </v>
      </c>
    </row>
    <row r="161" spans="8:15" ht="15" x14ac:dyDescent="0.25">
      <c r="H161" s="50" t="str">
        <f t="shared" si="20"/>
        <v xml:space="preserve"> </v>
      </c>
      <c r="I161" s="51" t="str">
        <f t="shared" si="14"/>
        <v/>
      </c>
      <c r="J161" s="106" t="str">
        <f t="shared" si="15"/>
        <v/>
      </c>
      <c r="K161" s="106" t="str">
        <f t="shared" si="17"/>
        <v xml:space="preserve"> </v>
      </c>
      <c r="L161" s="106" t="str">
        <f t="shared" si="16"/>
        <v/>
      </c>
      <c r="M161" s="51" t="str">
        <f t="shared" si="18"/>
        <v/>
      </c>
      <c r="N161" s="51"/>
      <c r="O161" s="51" t="str">
        <f t="shared" si="19"/>
        <v xml:space="preserve"> </v>
      </c>
    </row>
    <row r="162" spans="8:15" ht="15" x14ac:dyDescent="0.25">
      <c r="H162" s="50" t="str">
        <f t="shared" si="20"/>
        <v xml:space="preserve"> </v>
      </c>
      <c r="I162" s="51" t="str">
        <f t="shared" si="14"/>
        <v/>
      </c>
      <c r="J162" s="106" t="str">
        <f t="shared" si="15"/>
        <v/>
      </c>
      <c r="K162" s="106" t="str">
        <f t="shared" si="17"/>
        <v xml:space="preserve"> </v>
      </c>
      <c r="L162" s="106" t="str">
        <f t="shared" si="16"/>
        <v/>
      </c>
      <c r="M162" s="51" t="str">
        <f t="shared" si="18"/>
        <v/>
      </c>
      <c r="N162" s="51"/>
      <c r="O162" s="51" t="str">
        <f t="shared" si="19"/>
        <v xml:space="preserve"> </v>
      </c>
    </row>
    <row r="163" spans="8:15" ht="15" x14ac:dyDescent="0.25">
      <c r="H163" s="50" t="str">
        <f t="shared" si="20"/>
        <v xml:space="preserve"> </v>
      </c>
      <c r="I163" s="51" t="str">
        <f t="shared" si="14"/>
        <v/>
      </c>
      <c r="J163" s="106" t="str">
        <f t="shared" si="15"/>
        <v/>
      </c>
      <c r="K163" s="106" t="str">
        <f t="shared" si="17"/>
        <v xml:space="preserve"> </v>
      </c>
      <c r="L163" s="106" t="str">
        <f t="shared" si="16"/>
        <v/>
      </c>
      <c r="M163" s="51" t="str">
        <f t="shared" si="18"/>
        <v/>
      </c>
      <c r="N163" s="51"/>
      <c r="O163" s="51" t="str">
        <f t="shared" si="19"/>
        <v xml:space="preserve"> </v>
      </c>
    </row>
    <row r="164" spans="8:15" ht="15" x14ac:dyDescent="0.25">
      <c r="H164" s="50" t="str">
        <f t="shared" si="20"/>
        <v xml:space="preserve"> </v>
      </c>
      <c r="I164" s="51" t="str">
        <f t="shared" si="14"/>
        <v/>
      </c>
      <c r="J164" s="106" t="str">
        <f t="shared" si="15"/>
        <v/>
      </c>
      <c r="K164" s="106" t="str">
        <f t="shared" si="17"/>
        <v xml:space="preserve"> </v>
      </c>
      <c r="L164" s="106" t="str">
        <f t="shared" si="16"/>
        <v/>
      </c>
      <c r="M164" s="51" t="str">
        <f t="shared" si="18"/>
        <v/>
      </c>
      <c r="N164" s="51"/>
      <c r="O164" s="51" t="str">
        <f t="shared" si="19"/>
        <v xml:space="preserve"> </v>
      </c>
    </row>
    <row r="165" spans="8:15" ht="15" x14ac:dyDescent="0.25">
      <c r="H165" s="50" t="str">
        <f t="shared" si="20"/>
        <v xml:space="preserve"> </v>
      </c>
      <c r="I165" s="51" t="str">
        <f t="shared" si="14"/>
        <v/>
      </c>
      <c r="J165" s="106" t="str">
        <f t="shared" si="15"/>
        <v/>
      </c>
      <c r="K165" s="106" t="str">
        <f t="shared" si="17"/>
        <v xml:space="preserve"> </v>
      </c>
      <c r="L165" s="106" t="str">
        <f t="shared" si="16"/>
        <v/>
      </c>
      <c r="M165" s="51" t="str">
        <f t="shared" si="18"/>
        <v/>
      </c>
      <c r="N165" s="51"/>
      <c r="O165" s="51" t="str">
        <f t="shared" si="19"/>
        <v xml:space="preserve"> </v>
      </c>
    </row>
    <row r="166" spans="8:15" ht="15" x14ac:dyDescent="0.25">
      <c r="H166" s="50" t="str">
        <f t="shared" si="20"/>
        <v xml:space="preserve"> </v>
      </c>
      <c r="I166" s="51" t="str">
        <f t="shared" si="14"/>
        <v/>
      </c>
      <c r="J166" s="106" t="str">
        <f t="shared" si="15"/>
        <v/>
      </c>
      <c r="K166" s="106" t="str">
        <f t="shared" si="17"/>
        <v xml:space="preserve"> </v>
      </c>
      <c r="L166" s="106" t="str">
        <f t="shared" si="16"/>
        <v/>
      </c>
      <c r="M166" s="51" t="str">
        <f t="shared" si="18"/>
        <v/>
      </c>
      <c r="N166" s="51"/>
      <c r="O166" s="51" t="str">
        <f t="shared" si="19"/>
        <v xml:space="preserve"> </v>
      </c>
    </row>
    <row r="167" spans="8:15" ht="15" x14ac:dyDescent="0.25">
      <c r="H167" s="50" t="str">
        <f t="shared" si="20"/>
        <v xml:space="preserve"> </v>
      </c>
      <c r="I167" s="51" t="str">
        <f t="shared" si="14"/>
        <v/>
      </c>
      <c r="J167" s="106" t="str">
        <f t="shared" si="15"/>
        <v/>
      </c>
      <c r="K167" s="106" t="str">
        <f t="shared" si="17"/>
        <v xml:space="preserve"> </v>
      </c>
      <c r="L167" s="106" t="str">
        <f t="shared" si="16"/>
        <v/>
      </c>
      <c r="M167" s="51" t="str">
        <f t="shared" si="18"/>
        <v/>
      </c>
      <c r="N167" s="51"/>
      <c r="O167" s="51" t="str">
        <f t="shared" si="19"/>
        <v xml:space="preserve"> </v>
      </c>
    </row>
    <row r="168" spans="8:15" ht="15" x14ac:dyDescent="0.25">
      <c r="H168" s="50" t="str">
        <f t="shared" si="20"/>
        <v xml:space="preserve"> </v>
      </c>
      <c r="I168" s="51" t="str">
        <f t="shared" si="14"/>
        <v/>
      </c>
      <c r="J168" s="106" t="str">
        <f t="shared" si="15"/>
        <v/>
      </c>
      <c r="K168" s="106" t="str">
        <f t="shared" si="17"/>
        <v xml:space="preserve"> </v>
      </c>
      <c r="L168" s="106" t="str">
        <f t="shared" si="16"/>
        <v/>
      </c>
      <c r="M168" s="51" t="str">
        <f t="shared" si="18"/>
        <v/>
      </c>
      <c r="N168" s="51"/>
      <c r="O168" s="51" t="str">
        <f t="shared" si="19"/>
        <v xml:space="preserve"> </v>
      </c>
    </row>
    <row r="169" spans="8:15" ht="15" x14ac:dyDescent="0.25">
      <c r="H169" s="50" t="str">
        <f t="shared" si="20"/>
        <v xml:space="preserve"> </v>
      </c>
      <c r="I169" s="51" t="str">
        <f t="shared" si="14"/>
        <v/>
      </c>
      <c r="J169" s="106" t="str">
        <f t="shared" si="15"/>
        <v/>
      </c>
      <c r="K169" s="106" t="str">
        <f t="shared" si="17"/>
        <v xml:space="preserve"> </v>
      </c>
      <c r="L169" s="106" t="str">
        <f t="shared" si="16"/>
        <v/>
      </c>
      <c r="M169" s="51" t="str">
        <f t="shared" si="18"/>
        <v/>
      </c>
      <c r="N169" s="51"/>
      <c r="O169" s="51" t="str">
        <f t="shared" si="19"/>
        <v xml:space="preserve"> </v>
      </c>
    </row>
    <row r="170" spans="8:15" ht="15" x14ac:dyDescent="0.25">
      <c r="H170" s="50" t="str">
        <f t="shared" si="20"/>
        <v xml:space="preserve"> </v>
      </c>
      <c r="I170" s="51" t="str">
        <f t="shared" si="14"/>
        <v/>
      </c>
      <c r="J170" s="106" t="str">
        <f t="shared" si="15"/>
        <v/>
      </c>
      <c r="K170" s="106" t="str">
        <f t="shared" si="17"/>
        <v xml:space="preserve"> </v>
      </c>
      <c r="L170" s="106" t="str">
        <f t="shared" si="16"/>
        <v/>
      </c>
      <c r="M170" s="51" t="str">
        <f t="shared" si="18"/>
        <v/>
      </c>
      <c r="N170" s="51"/>
      <c r="O170" s="51" t="str">
        <f t="shared" si="19"/>
        <v xml:space="preserve"> </v>
      </c>
    </row>
    <row r="171" spans="8:15" ht="15" x14ac:dyDescent="0.25">
      <c r="H171" s="50" t="str">
        <f t="shared" si="20"/>
        <v xml:space="preserve"> </v>
      </c>
      <c r="I171" s="51" t="str">
        <f t="shared" si="14"/>
        <v/>
      </c>
      <c r="J171" s="106" t="str">
        <f t="shared" si="15"/>
        <v/>
      </c>
      <c r="K171" s="106" t="str">
        <f t="shared" si="17"/>
        <v xml:space="preserve"> </v>
      </c>
      <c r="L171" s="106" t="str">
        <f t="shared" si="16"/>
        <v/>
      </c>
      <c r="M171" s="51" t="str">
        <f t="shared" si="18"/>
        <v/>
      </c>
      <c r="N171" s="51"/>
      <c r="O171" s="51" t="str">
        <f t="shared" si="19"/>
        <v xml:space="preserve"> </v>
      </c>
    </row>
    <row r="172" spans="8:15" ht="15" x14ac:dyDescent="0.25">
      <c r="H172" s="50" t="str">
        <f t="shared" si="20"/>
        <v xml:space="preserve"> </v>
      </c>
      <c r="I172" s="51" t="str">
        <f t="shared" si="14"/>
        <v/>
      </c>
      <c r="J172" s="106" t="str">
        <f t="shared" si="15"/>
        <v/>
      </c>
      <c r="K172" s="106" t="str">
        <f t="shared" si="17"/>
        <v xml:space="preserve"> </v>
      </c>
      <c r="L172" s="106" t="str">
        <f t="shared" si="16"/>
        <v/>
      </c>
      <c r="M172" s="51" t="str">
        <f t="shared" si="18"/>
        <v/>
      </c>
      <c r="N172" s="51"/>
      <c r="O172" s="51" t="str">
        <f t="shared" si="19"/>
        <v xml:space="preserve"> </v>
      </c>
    </row>
    <row r="173" spans="8:15" ht="15" x14ac:dyDescent="0.25">
      <c r="H173" s="50" t="str">
        <f t="shared" si="20"/>
        <v xml:space="preserve"> </v>
      </c>
      <c r="I173" s="51" t="str">
        <f t="shared" si="14"/>
        <v/>
      </c>
      <c r="J173" s="106" t="str">
        <f t="shared" si="15"/>
        <v/>
      </c>
      <c r="K173" s="106" t="str">
        <f t="shared" si="17"/>
        <v xml:space="preserve"> </v>
      </c>
      <c r="L173" s="106" t="str">
        <f t="shared" si="16"/>
        <v/>
      </c>
      <c r="M173" s="51" t="str">
        <f t="shared" si="18"/>
        <v/>
      </c>
      <c r="N173" s="51"/>
      <c r="O173" s="51" t="str">
        <f t="shared" si="19"/>
        <v xml:space="preserve"> </v>
      </c>
    </row>
    <row r="174" spans="8:15" ht="15" x14ac:dyDescent="0.25">
      <c r="H174" s="50" t="str">
        <f t="shared" si="20"/>
        <v xml:space="preserve"> </v>
      </c>
      <c r="I174" s="51" t="str">
        <f t="shared" si="14"/>
        <v/>
      </c>
      <c r="J174" s="106" t="str">
        <f t="shared" si="15"/>
        <v/>
      </c>
      <c r="K174" s="106" t="str">
        <f t="shared" si="17"/>
        <v xml:space="preserve"> </v>
      </c>
      <c r="L174" s="106" t="str">
        <f t="shared" si="16"/>
        <v/>
      </c>
      <c r="M174" s="51" t="str">
        <f t="shared" si="18"/>
        <v/>
      </c>
      <c r="N174" s="51"/>
      <c r="O174" s="51" t="str">
        <f t="shared" si="19"/>
        <v xml:space="preserve"> </v>
      </c>
    </row>
    <row r="175" spans="8:15" ht="15" x14ac:dyDescent="0.25">
      <c r="H175" s="50" t="str">
        <f t="shared" si="20"/>
        <v xml:space="preserve"> </v>
      </c>
      <c r="I175" s="51" t="str">
        <f t="shared" si="14"/>
        <v/>
      </c>
      <c r="J175" s="106" t="str">
        <f t="shared" si="15"/>
        <v/>
      </c>
      <c r="K175" s="106" t="str">
        <f t="shared" si="17"/>
        <v xml:space="preserve"> </v>
      </c>
      <c r="L175" s="106" t="str">
        <f t="shared" si="16"/>
        <v/>
      </c>
      <c r="M175" s="51" t="str">
        <f t="shared" si="18"/>
        <v/>
      </c>
      <c r="N175" s="51"/>
      <c r="O175" s="51" t="str">
        <f t="shared" si="19"/>
        <v xml:space="preserve"> </v>
      </c>
    </row>
    <row r="176" spans="8:15" ht="15" x14ac:dyDescent="0.25">
      <c r="H176" s="50" t="str">
        <f t="shared" si="20"/>
        <v xml:space="preserve"> </v>
      </c>
      <c r="I176" s="51" t="str">
        <f t="shared" si="14"/>
        <v/>
      </c>
      <c r="J176" s="106" t="str">
        <f t="shared" si="15"/>
        <v/>
      </c>
      <c r="K176" s="106" t="str">
        <f t="shared" si="17"/>
        <v xml:space="preserve"> </v>
      </c>
      <c r="L176" s="106" t="str">
        <f t="shared" si="16"/>
        <v/>
      </c>
      <c r="M176" s="51" t="str">
        <f t="shared" si="18"/>
        <v/>
      </c>
      <c r="N176" s="51"/>
      <c r="O176" s="51" t="str">
        <f t="shared" si="19"/>
        <v xml:space="preserve"> </v>
      </c>
    </row>
    <row r="177" spans="8:15" ht="15" x14ac:dyDescent="0.25">
      <c r="H177" s="50" t="str">
        <f t="shared" si="20"/>
        <v xml:space="preserve"> </v>
      </c>
      <c r="I177" s="51" t="str">
        <f t="shared" si="14"/>
        <v/>
      </c>
      <c r="J177" s="106" t="str">
        <f t="shared" si="15"/>
        <v/>
      </c>
      <c r="K177" s="106" t="str">
        <f t="shared" si="17"/>
        <v xml:space="preserve"> </v>
      </c>
      <c r="L177" s="106" t="str">
        <f t="shared" si="16"/>
        <v/>
      </c>
      <c r="M177" s="51" t="str">
        <f t="shared" si="18"/>
        <v/>
      </c>
      <c r="N177" s="51"/>
      <c r="O177" s="51" t="str">
        <f t="shared" si="19"/>
        <v xml:space="preserve"> </v>
      </c>
    </row>
    <row r="178" spans="8:15" ht="15" x14ac:dyDescent="0.25">
      <c r="H178" s="50" t="str">
        <f t="shared" si="20"/>
        <v xml:space="preserve"> </v>
      </c>
      <c r="I178" s="51" t="str">
        <f t="shared" si="14"/>
        <v/>
      </c>
      <c r="J178" s="106" t="str">
        <f t="shared" si="15"/>
        <v/>
      </c>
      <c r="K178" s="106" t="str">
        <f t="shared" si="17"/>
        <v xml:space="preserve"> </v>
      </c>
      <c r="L178" s="106" t="str">
        <f t="shared" si="16"/>
        <v/>
      </c>
      <c r="M178" s="51" t="str">
        <f t="shared" si="18"/>
        <v/>
      </c>
      <c r="N178" s="51"/>
      <c r="O178" s="51" t="str">
        <f t="shared" si="19"/>
        <v xml:space="preserve"> </v>
      </c>
    </row>
    <row r="179" spans="8:15" ht="15" x14ac:dyDescent="0.25">
      <c r="H179" s="50" t="str">
        <f t="shared" si="20"/>
        <v xml:space="preserve"> </v>
      </c>
      <c r="I179" s="51" t="str">
        <f t="shared" si="14"/>
        <v/>
      </c>
      <c r="J179" s="106" t="str">
        <f t="shared" si="15"/>
        <v/>
      </c>
      <c r="K179" s="106" t="str">
        <f t="shared" si="17"/>
        <v xml:space="preserve"> </v>
      </c>
      <c r="L179" s="106" t="str">
        <f t="shared" si="16"/>
        <v/>
      </c>
      <c r="M179" s="51" t="str">
        <f t="shared" si="18"/>
        <v/>
      </c>
      <c r="N179" s="51"/>
      <c r="O179" s="51" t="str">
        <f t="shared" si="19"/>
        <v xml:space="preserve"> </v>
      </c>
    </row>
    <row r="180" spans="8:15" ht="15" x14ac:dyDescent="0.25">
      <c r="H180" s="50" t="str">
        <f t="shared" si="20"/>
        <v xml:space="preserve"> </v>
      </c>
      <c r="I180" s="51" t="str">
        <f t="shared" si="14"/>
        <v/>
      </c>
      <c r="J180" s="106" t="str">
        <f t="shared" si="15"/>
        <v/>
      </c>
      <c r="K180" s="106" t="str">
        <f t="shared" si="17"/>
        <v xml:space="preserve"> </v>
      </c>
      <c r="L180" s="106" t="str">
        <f t="shared" si="16"/>
        <v/>
      </c>
      <c r="M180" s="51" t="str">
        <f t="shared" si="18"/>
        <v/>
      </c>
      <c r="N180" s="51"/>
      <c r="O180" s="51" t="str">
        <f t="shared" si="19"/>
        <v xml:space="preserve"> </v>
      </c>
    </row>
    <row r="181" spans="8:15" ht="15" x14ac:dyDescent="0.25">
      <c r="H181" s="50" t="str">
        <f t="shared" si="20"/>
        <v xml:space="preserve"> </v>
      </c>
      <c r="I181" s="51" t="str">
        <f t="shared" si="14"/>
        <v/>
      </c>
      <c r="J181" s="106" t="str">
        <f t="shared" si="15"/>
        <v/>
      </c>
      <c r="K181" s="106" t="str">
        <f t="shared" si="17"/>
        <v xml:space="preserve"> </v>
      </c>
      <c r="L181" s="106" t="str">
        <f t="shared" si="16"/>
        <v/>
      </c>
      <c r="M181" s="51" t="str">
        <f t="shared" si="18"/>
        <v/>
      </c>
      <c r="N181" s="51"/>
      <c r="O181" s="51" t="str">
        <f t="shared" si="19"/>
        <v xml:space="preserve"> </v>
      </c>
    </row>
    <row r="182" spans="8:15" ht="15" x14ac:dyDescent="0.25">
      <c r="H182" s="50" t="str">
        <f t="shared" si="20"/>
        <v xml:space="preserve"> </v>
      </c>
      <c r="I182" s="51" t="str">
        <f t="shared" si="14"/>
        <v/>
      </c>
      <c r="J182" s="106" t="str">
        <f t="shared" si="15"/>
        <v/>
      </c>
      <c r="K182" s="106" t="str">
        <f t="shared" si="17"/>
        <v xml:space="preserve"> </v>
      </c>
      <c r="L182" s="106" t="str">
        <f t="shared" si="16"/>
        <v/>
      </c>
      <c r="M182" s="51" t="str">
        <f t="shared" si="18"/>
        <v/>
      </c>
      <c r="N182" s="51"/>
      <c r="O182" s="51" t="str">
        <f t="shared" si="19"/>
        <v xml:space="preserve"> </v>
      </c>
    </row>
    <row r="183" spans="8:15" ht="15" x14ac:dyDescent="0.25">
      <c r="H183" s="50" t="str">
        <f t="shared" si="20"/>
        <v xml:space="preserve"> </v>
      </c>
      <c r="I183" s="51" t="str">
        <f t="shared" si="14"/>
        <v/>
      </c>
      <c r="J183" s="106" t="str">
        <f t="shared" si="15"/>
        <v/>
      </c>
      <c r="K183" s="106" t="str">
        <f t="shared" si="17"/>
        <v xml:space="preserve"> </v>
      </c>
      <c r="L183" s="106" t="str">
        <f t="shared" si="16"/>
        <v/>
      </c>
      <c r="M183" s="51" t="str">
        <f t="shared" si="18"/>
        <v/>
      </c>
      <c r="N183" s="51"/>
      <c r="O183" s="51" t="str">
        <f t="shared" si="19"/>
        <v xml:space="preserve"> </v>
      </c>
    </row>
    <row r="184" spans="8:15" ht="15" x14ac:dyDescent="0.25">
      <c r="H184" s="50" t="str">
        <f t="shared" si="20"/>
        <v xml:space="preserve"> </v>
      </c>
      <c r="I184" s="51" t="str">
        <f t="shared" si="14"/>
        <v/>
      </c>
      <c r="J184" s="106" t="str">
        <f t="shared" si="15"/>
        <v/>
      </c>
      <c r="K184" s="106" t="str">
        <f t="shared" si="17"/>
        <v xml:space="preserve"> </v>
      </c>
      <c r="L184" s="106" t="str">
        <f t="shared" si="16"/>
        <v/>
      </c>
      <c r="M184" s="51" t="str">
        <f t="shared" si="18"/>
        <v/>
      </c>
      <c r="N184" s="51"/>
      <c r="O184" s="51" t="str">
        <f t="shared" si="19"/>
        <v xml:space="preserve"> </v>
      </c>
    </row>
    <row r="185" spans="8:15" ht="15" x14ac:dyDescent="0.25">
      <c r="H185" s="50" t="str">
        <f t="shared" si="20"/>
        <v xml:space="preserve"> </v>
      </c>
      <c r="I185" s="51" t="str">
        <f t="shared" si="14"/>
        <v/>
      </c>
      <c r="J185" s="106" t="str">
        <f t="shared" si="15"/>
        <v/>
      </c>
      <c r="K185" s="106" t="str">
        <f t="shared" si="17"/>
        <v xml:space="preserve"> </v>
      </c>
      <c r="L185" s="106" t="str">
        <f t="shared" si="16"/>
        <v/>
      </c>
      <c r="M185" s="51" t="str">
        <f t="shared" si="18"/>
        <v/>
      </c>
      <c r="N185" s="51"/>
      <c r="O185" s="51" t="str">
        <f t="shared" si="19"/>
        <v xml:space="preserve"> </v>
      </c>
    </row>
    <row r="186" spans="8:15" ht="15" x14ac:dyDescent="0.25">
      <c r="H186" s="50" t="str">
        <f t="shared" si="20"/>
        <v xml:space="preserve"> </v>
      </c>
      <c r="I186" s="51" t="str">
        <f t="shared" si="14"/>
        <v/>
      </c>
      <c r="J186" s="106" t="str">
        <f t="shared" si="15"/>
        <v/>
      </c>
      <c r="K186" s="106" t="str">
        <f t="shared" si="17"/>
        <v xml:space="preserve"> </v>
      </c>
      <c r="L186" s="106" t="str">
        <f t="shared" si="16"/>
        <v/>
      </c>
      <c r="M186" s="51" t="str">
        <f t="shared" si="18"/>
        <v/>
      </c>
      <c r="N186" s="51"/>
      <c r="O186" s="51" t="str">
        <f t="shared" si="19"/>
        <v xml:space="preserve"> </v>
      </c>
    </row>
    <row r="187" spans="8:15" ht="15" x14ac:dyDescent="0.25">
      <c r="H187" s="50" t="str">
        <f t="shared" si="20"/>
        <v xml:space="preserve"> </v>
      </c>
      <c r="I187" s="51" t="str">
        <f t="shared" si="14"/>
        <v/>
      </c>
      <c r="J187" s="106" t="str">
        <f t="shared" si="15"/>
        <v/>
      </c>
      <c r="K187" s="106" t="str">
        <f t="shared" si="17"/>
        <v xml:space="preserve"> </v>
      </c>
      <c r="L187" s="106" t="str">
        <f t="shared" si="16"/>
        <v/>
      </c>
      <c r="M187" s="51" t="str">
        <f t="shared" si="18"/>
        <v/>
      </c>
      <c r="N187" s="51"/>
      <c r="O187" s="51" t="str">
        <f t="shared" si="19"/>
        <v xml:space="preserve"> </v>
      </c>
    </row>
    <row r="188" spans="8:15" ht="15" x14ac:dyDescent="0.25">
      <c r="H188" s="50" t="str">
        <f t="shared" si="20"/>
        <v xml:space="preserve"> </v>
      </c>
      <c r="I188" s="51" t="str">
        <f t="shared" si="14"/>
        <v/>
      </c>
      <c r="J188" s="106" t="str">
        <f t="shared" si="15"/>
        <v/>
      </c>
      <c r="K188" s="106" t="str">
        <f t="shared" si="17"/>
        <v xml:space="preserve"> </v>
      </c>
      <c r="L188" s="106" t="str">
        <f t="shared" si="16"/>
        <v/>
      </c>
      <c r="M188" s="51" t="str">
        <f t="shared" si="18"/>
        <v/>
      </c>
      <c r="N188" s="51"/>
      <c r="O188" s="51" t="str">
        <f t="shared" si="19"/>
        <v xml:space="preserve"> </v>
      </c>
    </row>
    <row r="189" spans="8:15" ht="15" x14ac:dyDescent="0.25">
      <c r="H189" s="50" t="str">
        <f t="shared" si="20"/>
        <v xml:space="preserve"> </v>
      </c>
      <c r="I189" s="51" t="str">
        <f t="shared" si="14"/>
        <v/>
      </c>
      <c r="J189" s="106" t="str">
        <f t="shared" si="15"/>
        <v/>
      </c>
      <c r="K189" s="106" t="str">
        <f t="shared" si="17"/>
        <v xml:space="preserve"> </v>
      </c>
      <c r="L189" s="106" t="str">
        <f t="shared" si="16"/>
        <v/>
      </c>
      <c r="M189" s="51" t="str">
        <f t="shared" si="18"/>
        <v/>
      </c>
      <c r="N189" s="51"/>
      <c r="O189" s="51" t="str">
        <f t="shared" si="19"/>
        <v xml:space="preserve"> </v>
      </c>
    </row>
    <row r="190" spans="8:15" ht="15" x14ac:dyDescent="0.25">
      <c r="H190" s="50" t="str">
        <f t="shared" si="20"/>
        <v xml:space="preserve"> </v>
      </c>
      <c r="I190" s="51" t="str">
        <f t="shared" si="14"/>
        <v/>
      </c>
      <c r="J190" s="106" t="str">
        <f t="shared" si="15"/>
        <v/>
      </c>
      <c r="K190" s="106" t="str">
        <f t="shared" si="17"/>
        <v xml:space="preserve"> </v>
      </c>
      <c r="L190" s="106" t="str">
        <f t="shared" si="16"/>
        <v/>
      </c>
      <c r="M190" s="51" t="str">
        <f t="shared" si="18"/>
        <v/>
      </c>
      <c r="N190" s="51"/>
      <c r="O190" s="51" t="str">
        <f t="shared" si="19"/>
        <v xml:space="preserve"> </v>
      </c>
    </row>
    <row r="191" spans="8:15" ht="15" x14ac:dyDescent="0.25">
      <c r="H191" s="50" t="str">
        <f t="shared" si="20"/>
        <v xml:space="preserve"> </v>
      </c>
      <c r="I191" s="51" t="str">
        <f t="shared" si="14"/>
        <v/>
      </c>
      <c r="J191" s="106" t="str">
        <f t="shared" si="15"/>
        <v/>
      </c>
      <c r="K191" s="106" t="str">
        <f t="shared" si="17"/>
        <v xml:space="preserve"> </v>
      </c>
      <c r="L191" s="106" t="str">
        <f t="shared" si="16"/>
        <v/>
      </c>
      <c r="M191" s="51" t="str">
        <f t="shared" si="18"/>
        <v/>
      </c>
      <c r="N191" s="51"/>
      <c r="O191" s="51" t="str">
        <f t="shared" si="19"/>
        <v xml:space="preserve"> </v>
      </c>
    </row>
    <row r="192" spans="8:15" ht="15" x14ac:dyDescent="0.25">
      <c r="H192" s="50" t="str">
        <f t="shared" si="20"/>
        <v xml:space="preserve"> </v>
      </c>
      <c r="I192" s="51" t="str">
        <f t="shared" si="14"/>
        <v/>
      </c>
      <c r="J192" s="106" t="str">
        <f t="shared" si="15"/>
        <v/>
      </c>
      <c r="K192" s="106" t="str">
        <f t="shared" si="17"/>
        <v xml:space="preserve"> </v>
      </c>
      <c r="L192" s="106" t="str">
        <f t="shared" si="16"/>
        <v/>
      </c>
      <c r="M192" s="51" t="str">
        <f t="shared" si="18"/>
        <v/>
      </c>
      <c r="N192" s="51"/>
      <c r="O192" s="51" t="str">
        <f t="shared" si="19"/>
        <v xml:space="preserve"> </v>
      </c>
    </row>
    <row r="193" spans="8:15" ht="15" x14ac:dyDescent="0.25">
      <c r="H193" s="50" t="str">
        <f t="shared" si="20"/>
        <v xml:space="preserve"> </v>
      </c>
      <c r="I193" s="51" t="str">
        <f t="shared" si="14"/>
        <v/>
      </c>
      <c r="J193" s="106" t="str">
        <f t="shared" si="15"/>
        <v/>
      </c>
      <c r="K193" s="106" t="str">
        <f t="shared" si="17"/>
        <v xml:space="preserve"> </v>
      </c>
      <c r="L193" s="106" t="str">
        <f t="shared" si="16"/>
        <v/>
      </c>
      <c r="M193" s="51" t="str">
        <f t="shared" si="18"/>
        <v/>
      </c>
      <c r="N193" s="51"/>
      <c r="O193" s="51" t="str">
        <f t="shared" si="19"/>
        <v xml:space="preserve"> </v>
      </c>
    </row>
    <row r="194" spans="8:15" ht="15" x14ac:dyDescent="0.25">
      <c r="H194" s="50" t="str">
        <f t="shared" si="20"/>
        <v xml:space="preserve"> </v>
      </c>
      <c r="I194" s="51" t="str">
        <f t="shared" si="14"/>
        <v/>
      </c>
      <c r="J194" s="106" t="str">
        <f t="shared" si="15"/>
        <v/>
      </c>
      <c r="K194" s="106" t="str">
        <f t="shared" si="17"/>
        <v xml:space="preserve"> </v>
      </c>
      <c r="L194" s="106" t="str">
        <f t="shared" si="16"/>
        <v/>
      </c>
      <c r="M194" s="51" t="str">
        <f t="shared" si="18"/>
        <v/>
      </c>
      <c r="N194" s="51"/>
      <c r="O194" s="51" t="str">
        <f t="shared" si="19"/>
        <v xml:space="preserve"> </v>
      </c>
    </row>
    <row r="195" spans="8:15" ht="15" x14ac:dyDescent="0.25">
      <c r="H195" s="50" t="str">
        <f t="shared" si="20"/>
        <v xml:space="preserve"> </v>
      </c>
      <c r="I195" s="51" t="str">
        <f t="shared" si="14"/>
        <v/>
      </c>
      <c r="J195" s="106" t="str">
        <f t="shared" si="15"/>
        <v/>
      </c>
      <c r="K195" s="106" t="str">
        <f t="shared" si="17"/>
        <v xml:space="preserve"> </v>
      </c>
      <c r="L195" s="106" t="str">
        <f t="shared" si="16"/>
        <v/>
      </c>
      <c r="M195" s="51" t="str">
        <f t="shared" si="18"/>
        <v/>
      </c>
      <c r="N195" s="51"/>
      <c r="O195" s="51" t="str">
        <f t="shared" si="19"/>
        <v xml:space="preserve"> </v>
      </c>
    </row>
    <row r="196" spans="8:15" ht="15" x14ac:dyDescent="0.25">
      <c r="H196" s="50" t="str">
        <f t="shared" si="20"/>
        <v xml:space="preserve"> </v>
      </c>
      <c r="I196" s="51" t="str">
        <f t="shared" si="14"/>
        <v/>
      </c>
      <c r="J196" s="106" t="str">
        <f t="shared" si="15"/>
        <v/>
      </c>
      <c r="K196" s="106" t="str">
        <f t="shared" si="17"/>
        <v xml:space="preserve"> </v>
      </c>
      <c r="L196" s="106" t="str">
        <f t="shared" si="16"/>
        <v/>
      </c>
      <c r="M196" s="51" t="str">
        <f t="shared" si="18"/>
        <v/>
      </c>
      <c r="N196" s="51"/>
      <c r="O196" s="51" t="str">
        <f t="shared" si="19"/>
        <v xml:space="preserve"> </v>
      </c>
    </row>
    <row r="197" spans="8:15" ht="15" x14ac:dyDescent="0.25">
      <c r="H197" s="50" t="str">
        <f t="shared" si="20"/>
        <v xml:space="preserve"> </v>
      </c>
      <c r="I197" s="51" t="str">
        <f t="shared" si="14"/>
        <v/>
      </c>
      <c r="J197" s="106" t="str">
        <f t="shared" si="15"/>
        <v/>
      </c>
      <c r="K197" s="106" t="str">
        <f t="shared" si="17"/>
        <v xml:space="preserve"> </v>
      </c>
      <c r="L197" s="106" t="str">
        <f t="shared" si="16"/>
        <v/>
      </c>
      <c r="M197" s="51" t="str">
        <f t="shared" si="18"/>
        <v/>
      </c>
      <c r="N197" s="51"/>
      <c r="O197" s="51" t="str">
        <f t="shared" si="19"/>
        <v xml:space="preserve"> </v>
      </c>
    </row>
    <row r="198" spans="8:15" ht="15" x14ac:dyDescent="0.25">
      <c r="H198" s="50" t="str">
        <f t="shared" si="20"/>
        <v xml:space="preserve"> </v>
      </c>
      <c r="I198" s="51" t="str">
        <f t="shared" si="14"/>
        <v/>
      </c>
      <c r="J198" s="106" t="str">
        <f t="shared" si="15"/>
        <v/>
      </c>
      <c r="K198" s="106" t="str">
        <f t="shared" si="17"/>
        <v xml:space="preserve"> </v>
      </c>
      <c r="L198" s="106" t="str">
        <f t="shared" si="16"/>
        <v/>
      </c>
      <c r="M198" s="51" t="str">
        <f t="shared" si="18"/>
        <v/>
      </c>
      <c r="N198" s="51"/>
      <c r="O198" s="51" t="str">
        <f t="shared" si="19"/>
        <v xml:space="preserve"> </v>
      </c>
    </row>
    <row r="199" spans="8:15" ht="15" x14ac:dyDescent="0.25">
      <c r="H199" s="50" t="str">
        <f t="shared" si="20"/>
        <v xml:space="preserve"> </v>
      </c>
      <c r="I199" s="51" t="str">
        <f t="shared" si="14"/>
        <v/>
      </c>
      <c r="J199" s="106" t="str">
        <f t="shared" si="15"/>
        <v/>
      </c>
      <c r="K199" s="106" t="str">
        <f t="shared" si="17"/>
        <v xml:space="preserve"> </v>
      </c>
      <c r="L199" s="106" t="str">
        <f t="shared" si="16"/>
        <v/>
      </c>
      <c r="M199" s="51" t="str">
        <f t="shared" si="18"/>
        <v/>
      </c>
      <c r="N199" s="51"/>
      <c r="O199" s="51" t="str">
        <f t="shared" si="19"/>
        <v xml:space="preserve"> </v>
      </c>
    </row>
    <row r="200" spans="8:15" ht="15" x14ac:dyDescent="0.25">
      <c r="H200" s="50" t="str">
        <f t="shared" si="20"/>
        <v xml:space="preserve"> </v>
      </c>
      <c r="I200" s="51" t="str">
        <f t="shared" si="14"/>
        <v/>
      </c>
      <c r="J200" s="106" t="str">
        <f t="shared" si="15"/>
        <v/>
      </c>
      <c r="K200" s="106" t="str">
        <f t="shared" si="17"/>
        <v xml:space="preserve"> </v>
      </c>
      <c r="L200" s="106" t="str">
        <f t="shared" si="16"/>
        <v/>
      </c>
      <c r="M200" s="51" t="str">
        <f t="shared" si="18"/>
        <v/>
      </c>
      <c r="N200" s="51"/>
      <c r="O200" s="51" t="str">
        <f t="shared" si="19"/>
        <v xml:space="preserve"> </v>
      </c>
    </row>
    <row r="201" spans="8:15" ht="15" x14ac:dyDescent="0.25">
      <c r="H201" s="50" t="str">
        <f t="shared" si="20"/>
        <v xml:space="preserve"> </v>
      </c>
      <c r="I201" s="51" t="str">
        <f t="shared" si="14"/>
        <v/>
      </c>
      <c r="J201" s="106" t="str">
        <f t="shared" si="15"/>
        <v/>
      </c>
      <c r="K201" s="106" t="str">
        <f t="shared" si="17"/>
        <v xml:space="preserve"> </v>
      </c>
      <c r="L201" s="106" t="str">
        <f t="shared" si="16"/>
        <v/>
      </c>
      <c r="M201" s="51" t="str">
        <f t="shared" si="18"/>
        <v/>
      </c>
      <c r="N201" s="51"/>
      <c r="O201" s="51" t="str">
        <f t="shared" si="19"/>
        <v xml:space="preserve"> </v>
      </c>
    </row>
    <row r="202" spans="8:15" ht="15" x14ac:dyDescent="0.25">
      <c r="H202" s="50" t="str">
        <f t="shared" si="20"/>
        <v xml:space="preserve"> </v>
      </c>
      <c r="I202" s="51" t="str">
        <f t="shared" si="14"/>
        <v/>
      </c>
      <c r="J202" s="106" t="str">
        <f t="shared" si="15"/>
        <v/>
      </c>
      <c r="K202" s="106" t="str">
        <f t="shared" si="17"/>
        <v xml:space="preserve"> </v>
      </c>
      <c r="L202" s="106" t="str">
        <f t="shared" si="16"/>
        <v/>
      </c>
      <c r="M202" s="51" t="str">
        <f t="shared" si="18"/>
        <v/>
      </c>
      <c r="N202" s="51"/>
      <c r="O202" s="51" t="str">
        <f t="shared" si="19"/>
        <v xml:space="preserve"> </v>
      </c>
    </row>
    <row r="203" spans="8:15" ht="15" x14ac:dyDescent="0.25">
      <c r="H203" s="50" t="str">
        <f t="shared" si="20"/>
        <v xml:space="preserve"> </v>
      </c>
      <c r="I203" s="51" t="str">
        <f t="shared" si="14"/>
        <v/>
      </c>
      <c r="J203" s="106" t="str">
        <f t="shared" si="15"/>
        <v/>
      </c>
      <c r="K203" s="106" t="str">
        <f t="shared" si="17"/>
        <v xml:space="preserve"> </v>
      </c>
      <c r="L203" s="106" t="str">
        <f t="shared" si="16"/>
        <v/>
      </c>
      <c r="M203" s="51" t="str">
        <f t="shared" si="18"/>
        <v/>
      </c>
      <c r="N203" s="51"/>
      <c r="O203" s="51" t="str">
        <f t="shared" si="19"/>
        <v xml:space="preserve"> </v>
      </c>
    </row>
    <row r="204" spans="8:15" ht="15" x14ac:dyDescent="0.25">
      <c r="H204" s="50" t="str">
        <f t="shared" si="20"/>
        <v xml:space="preserve"> </v>
      </c>
      <c r="I204" s="51" t="str">
        <f t="shared" si="14"/>
        <v/>
      </c>
      <c r="J204" s="106" t="str">
        <f t="shared" si="15"/>
        <v/>
      </c>
      <c r="K204" s="106" t="str">
        <f t="shared" si="17"/>
        <v xml:space="preserve"> </v>
      </c>
      <c r="L204" s="106" t="str">
        <f t="shared" si="16"/>
        <v/>
      </c>
      <c r="M204" s="51" t="str">
        <f t="shared" si="18"/>
        <v/>
      </c>
      <c r="N204" s="51"/>
      <c r="O204" s="51" t="str">
        <f t="shared" si="19"/>
        <v xml:space="preserve"> </v>
      </c>
    </row>
    <row r="205" spans="8:15" ht="15" x14ac:dyDescent="0.25">
      <c r="H205" s="50" t="str">
        <f t="shared" si="20"/>
        <v xml:space="preserve"> </v>
      </c>
      <c r="I205" s="51" t="str">
        <f t="shared" si="14"/>
        <v/>
      </c>
      <c r="J205" s="106" t="str">
        <f t="shared" si="15"/>
        <v/>
      </c>
      <c r="K205" s="106" t="str">
        <f t="shared" si="17"/>
        <v xml:space="preserve"> </v>
      </c>
      <c r="L205" s="106" t="str">
        <f t="shared" si="16"/>
        <v/>
      </c>
      <c r="M205" s="51" t="str">
        <f t="shared" si="18"/>
        <v/>
      </c>
      <c r="N205" s="51"/>
      <c r="O205" s="51" t="str">
        <f t="shared" si="19"/>
        <v xml:space="preserve"> </v>
      </c>
    </row>
    <row r="206" spans="8:15" ht="15" x14ac:dyDescent="0.25">
      <c r="H206" s="50" t="str">
        <f t="shared" si="20"/>
        <v xml:space="preserve"> </v>
      </c>
      <c r="I206" s="51" t="str">
        <f t="shared" si="14"/>
        <v/>
      </c>
      <c r="J206" s="106" t="str">
        <f t="shared" si="15"/>
        <v/>
      </c>
      <c r="K206" s="106" t="str">
        <f t="shared" si="17"/>
        <v xml:space="preserve"> </v>
      </c>
      <c r="L206" s="106" t="str">
        <f t="shared" si="16"/>
        <v/>
      </c>
      <c r="M206" s="51" t="str">
        <f t="shared" si="18"/>
        <v/>
      </c>
      <c r="N206" s="51"/>
      <c r="O206" s="51" t="str">
        <f t="shared" si="19"/>
        <v xml:space="preserve"> </v>
      </c>
    </row>
    <row r="207" spans="8:15" ht="15" x14ac:dyDescent="0.25">
      <c r="H207" s="50" t="str">
        <f t="shared" si="20"/>
        <v xml:space="preserve"> </v>
      </c>
      <c r="I207" s="51" t="str">
        <f t="shared" si="14"/>
        <v/>
      </c>
      <c r="J207" s="106" t="str">
        <f t="shared" si="15"/>
        <v/>
      </c>
      <c r="K207" s="106" t="str">
        <f t="shared" si="17"/>
        <v xml:space="preserve"> </v>
      </c>
      <c r="L207" s="106" t="str">
        <f t="shared" si="16"/>
        <v/>
      </c>
      <c r="M207" s="51" t="str">
        <f t="shared" si="18"/>
        <v/>
      </c>
      <c r="N207" s="51"/>
      <c r="O207" s="51" t="str">
        <f t="shared" si="19"/>
        <v xml:space="preserve"> </v>
      </c>
    </row>
    <row r="208" spans="8:15" ht="15" x14ac:dyDescent="0.25">
      <c r="H208" s="50" t="str">
        <f t="shared" si="20"/>
        <v xml:space="preserve"> </v>
      </c>
      <c r="I208" s="51" t="str">
        <f t="shared" ref="I208:I271" si="21">IF(H208&lt;=$D$32,(IF(H208&lt;=$D$20,IF(credito="Período de Gracia Total",0,$L$15*$D$27/$D$23),(IF(credito="Período de Gracia Parcial",$L$15/PV(($D$27/$D$23),$D$32-$D$20,-1),$L$15*(1+($D$27/$D$23))^$D$20/PV(($D$27/$D$23),$D$32-$D$20,-1))))),"")</f>
        <v/>
      </c>
      <c r="J208" s="106" t="str">
        <f t="shared" ref="J208:J271" si="22">IF(H208&lt;=$D$32,IF(H208&lt;=$D$20,IF(credito="Período de Gracia Total",0,L$15*$D$27/$D$23),L207*$D$27/$D$23),"")</f>
        <v/>
      </c>
      <c r="K208" s="106" t="str">
        <f t="shared" si="17"/>
        <v xml:space="preserve"> </v>
      </c>
      <c r="L208" s="106" t="str">
        <f t="shared" ref="L208:L271" si="23">IF(H208&lt;=$D$32,IF(H208&lt;=$D$20,IF(credito="Período de Gracia Total",$L$15*(1+($D$27/$D$23))^H208,L207-K208),L207-K208),"")</f>
        <v/>
      </c>
      <c r="M208" s="51" t="str">
        <f t="shared" si="18"/>
        <v/>
      </c>
      <c r="N208" s="51"/>
      <c r="O208" s="51" t="str">
        <f t="shared" si="19"/>
        <v xml:space="preserve"> </v>
      </c>
    </row>
    <row r="209" spans="8:15" ht="15" x14ac:dyDescent="0.25">
      <c r="H209" s="50" t="str">
        <f t="shared" si="20"/>
        <v xml:space="preserve"> </v>
      </c>
      <c r="I209" s="51" t="str">
        <f t="shared" si="21"/>
        <v/>
      </c>
      <c r="J209" s="106" t="str">
        <f t="shared" si="22"/>
        <v/>
      </c>
      <c r="K209" s="106" t="str">
        <f t="shared" ref="K209:K272" si="24">IF(H209&lt;=$T$15,I209-J209," ")</f>
        <v xml:space="preserve"> </v>
      </c>
      <c r="L209" s="106" t="str">
        <f t="shared" si="23"/>
        <v/>
      </c>
      <c r="M209" s="51" t="str">
        <f t="shared" ref="M209:M272" si="25">IF(H209&lt;=$D$32,M208+K209,"")</f>
        <v/>
      </c>
      <c r="N209" s="51"/>
      <c r="O209" s="51" t="str">
        <f t="shared" ref="O209:O272" si="26">IF(H209&lt;=$T$15,-I209," ")</f>
        <v xml:space="preserve"> </v>
      </c>
    </row>
    <row r="210" spans="8:15" ht="15" x14ac:dyDescent="0.25">
      <c r="H210" s="50" t="str">
        <f t="shared" ref="H210:H273" si="27">IF($H209&gt;=$T$15," ",H209+1)</f>
        <v xml:space="preserve"> </v>
      </c>
      <c r="I210" s="51" t="str">
        <f t="shared" si="21"/>
        <v/>
      </c>
      <c r="J210" s="106" t="str">
        <f t="shared" si="22"/>
        <v/>
      </c>
      <c r="K210" s="106" t="str">
        <f t="shared" si="24"/>
        <v xml:space="preserve"> </v>
      </c>
      <c r="L210" s="106" t="str">
        <f t="shared" si="23"/>
        <v/>
      </c>
      <c r="M210" s="51" t="str">
        <f t="shared" si="25"/>
        <v/>
      </c>
      <c r="N210" s="51"/>
      <c r="O210" s="51" t="str">
        <f t="shared" si="26"/>
        <v xml:space="preserve"> </v>
      </c>
    </row>
    <row r="211" spans="8:15" ht="15" x14ac:dyDescent="0.25">
      <c r="H211" s="50" t="str">
        <f t="shared" si="27"/>
        <v xml:space="preserve"> </v>
      </c>
      <c r="I211" s="51" t="str">
        <f t="shared" si="21"/>
        <v/>
      </c>
      <c r="J211" s="106" t="str">
        <f t="shared" si="22"/>
        <v/>
      </c>
      <c r="K211" s="106" t="str">
        <f t="shared" si="24"/>
        <v xml:space="preserve"> </v>
      </c>
      <c r="L211" s="106" t="str">
        <f t="shared" si="23"/>
        <v/>
      </c>
      <c r="M211" s="51" t="str">
        <f t="shared" si="25"/>
        <v/>
      </c>
      <c r="N211" s="51"/>
      <c r="O211" s="51" t="str">
        <f t="shared" si="26"/>
        <v xml:space="preserve"> </v>
      </c>
    </row>
    <row r="212" spans="8:15" ht="15" x14ac:dyDescent="0.25">
      <c r="H212" s="50" t="str">
        <f t="shared" si="27"/>
        <v xml:space="preserve"> </v>
      </c>
      <c r="I212" s="51" t="str">
        <f t="shared" si="21"/>
        <v/>
      </c>
      <c r="J212" s="106" t="str">
        <f t="shared" si="22"/>
        <v/>
      </c>
      <c r="K212" s="106" t="str">
        <f t="shared" si="24"/>
        <v xml:space="preserve"> </v>
      </c>
      <c r="L212" s="106" t="str">
        <f t="shared" si="23"/>
        <v/>
      </c>
      <c r="M212" s="51" t="str">
        <f t="shared" si="25"/>
        <v/>
      </c>
      <c r="N212" s="51"/>
      <c r="O212" s="51" t="str">
        <f t="shared" si="26"/>
        <v xml:space="preserve"> </v>
      </c>
    </row>
    <row r="213" spans="8:15" ht="15" x14ac:dyDescent="0.25">
      <c r="H213" s="50" t="str">
        <f t="shared" si="27"/>
        <v xml:space="preserve"> </v>
      </c>
      <c r="I213" s="51" t="str">
        <f t="shared" si="21"/>
        <v/>
      </c>
      <c r="J213" s="106" t="str">
        <f t="shared" si="22"/>
        <v/>
      </c>
      <c r="K213" s="106" t="str">
        <f t="shared" si="24"/>
        <v xml:space="preserve"> </v>
      </c>
      <c r="L213" s="106" t="str">
        <f t="shared" si="23"/>
        <v/>
      </c>
      <c r="M213" s="51" t="str">
        <f t="shared" si="25"/>
        <v/>
      </c>
      <c r="N213" s="51"/>
      <c r="O213" s="51" t="str">
        <f t="shared" si="26"/>
        <v xml:space="preserve"> </v>
      </c>
    </row>
    <row r="214" spans="8:15" ht="15" x14ac:dyDescent="0.25">
      <c r="H214" s="50" t="str">
        <f t="shared" si="27"/>
        <v xml:space="preserve"> </v>
      </c>
      <c r="I214" s="51" t="str">
        <f t="shared" si="21"/>
        <v/>
      </c>
      <c r="J214" s="106" t="str">
        <f t="shared" si="22"/>
        <v/>
      </c>
      <c r="K214" s="106" t="str">
        <f t="shared" si="24"/>
        <v xml:space="preserve"> </v>
      </c>
      <c r="L214" s="106" t="str">
        <f t="shared" si="23"/>
        <v/>
      </c>
      <c r="M214" s="51" t="str">
        <f t="shared" si="25"/>
        <v/>
      </c>
      <c r="N214" s="51"/>
      <c r="O214" s="51" t="str">
        <f t="shared" si="26"/>
        <v xml:space="preserve"> </v>
      </c>
    </row>
    <row r="215" spans="8:15" ht="15" x14ac:dyDescent="0.25">
      <c r="H215" s="50" t="str">
        <f t="shared" si="27"/>
        <v xml:space="preserve"> </v>
      </c>
      <c r="I215" s="51" t="str">
        <f t="shared" si="21"/>
        <v/>
      </c>
      <c r="J215" s="106" t="str">
        <f t="shared" si="22"/>
        <v/>
      </c>
      <c r="K215" s="106" t="str">
        <f t="shared" si="24"/>
        <v xml:space="preserve"> </v>
      </c>
      <c r="L215" s="106" t="str">
        <f t="shared" si="23"/>
        <v/>
      </c>
      <c r="M215" s="51" t="str">
        <f t="shared" si="25"/>
        <v/>
      </c>
      <c r="N215" s="51"/>
      <c r="O215" s="51" t="str">
        <f t="shared" si="26"/>
        <v xml:space="preserve"> </v>
      </c>
    </row>
    <row r="216" spans="8:15" ht="15" x14ac:dyDescent="0.25">
      <c r="H216" s="50" t="str">
        <f t="shared" si="27"/>
        <v xml:space="preserve"> </v>
      </c>
      <c r="I216" s="51" t="str">
        <f t="shared" si="21"/>
        <v/>
      </c>
      <c r="J216" s="106" t="str">
        <f t="shared" si="22"/>
        <v/>
      </c>
      <c r="K216" s="106" t="str">
        <f t="shared" si="24"/>
        <v xml:space="preserve"> </v>
      </c>
      <c r="L216" s="106" t="str">
        <f t="shared" si="23"/>
        <v/>
      </c>
      <c r="M216" s="51" t="str">
        <f t="shared" si="25"/>
        <v/>
      </c>
      <c r="N216" s="51"/>
      <c r="O216" s="51" t="str">
        <f t="shared" si="26"/>
        <v xml:space="preserve"> </v>
      </c>
    </row>
    <row r="217" spans="8:15" ht="15" x14ac:dyDescent="0.25">
      <c r="H217" s="50" t="str">
        <f t="shared" si="27"/>
        <v xml:space="preserve"> </v>
      </c>
      <c r="I217" s="51" t="str">
        <f t="shared" si="21"/>
        <v/>
      </c>
      <c r="J217" s="106" t="str">
        <f t="shared" si="22"/>
        <v/>
      </c>
      <c r="K217" s="106" t="str">
        <f t="shared" si="24"/>
        <v xml:space="preserve"> </v>
      </c>
      <c r="L217" s="106" t="str">
        <f t="shared" si="23"/>
        <v/>
      </c>
      <c r="M217" s="51" t="str">
        <f t="shared" si="25"/>
        <v/>
      </c>
      <c r="N217" s="51"/>
      <c r="O217" s="51" t="str">
        <f t="shared" si="26"/>
        <v xml:space="preserve"> </v>
      </c>
    </row>
    <row r="218" spans="8:15" ht="15" x14ac:dyDescent="0.25">
      <c r="H218" s="50" t="str">
        <f t="shared" si="27"/>
        <v xml:space="preserve"> </v>
      </c>
      <c r="I218" s="51" t="str">
        <f t="shared" si="21"/>
        <v/>
      </c>
      <c r="J218" s="106" t="str">
        <f t="shared" si="22"/>
        <v/>
      </c>
      <c r="K218" s="106" t="str">
        <f t="shared" si="24"/>
        <v xml:space="preserve"> </v>
      </c>
      <c r="L218" s="106" t="str">
        <f t="shared" si="23"/>
        <v/>
      </c>
      <c r="M218" s="51" t="str">
        <f t="shared" si="25"/>
        <v/>
      </c>
      <c r="N218" s="51"/>
      <c r="O218" s="51" t="str">
        <f t="shared" si="26"/>
        <v xml:space="preserve"> </v>
      </c>
    </row>
    <row r="219" spans="8:15" ht="15" x14ac:dyDescent="0.25">
      <c r="H219" s="50" t="str">
        <f t="shared" si="27"/>
        <v xml:space="preserve"> </v>
      </c>
      <c r="I219" s="51" t="str">
        <f t="shared" si="21"/>
        <v/>
      </c>
      <c r="J219" s="106" t="str">
        <f t="shared" si="22"/>
        <v/>
      </c>
      <c r="K219" s="106" t="str">
        <f t="shared" si="24"/>
        <v xml:space="preserve"> </v>
      </c>
      <c r="L219" s="106" t="str">
        <f t="shared" si="23"/>
        <v/>
      </c>
      <c r="M219" s="51" t="str">
        <f t="shared" si="25"/>
        <v/>
      </c>
      <c r="N219" s="51"/>
      <c r="O219" s="51" t="str">
        <f t="shared" si="26"/>
        <v xml:space="preserve"> </v>
      </c>
    </row>
    <row r="220" spans="8:15" ht="15" x14ac:dyDescent="0.25">
      <c r="H220" s="50" t="str">
        <f t="shared" si="27"/>
        <v xml:space="preserve"> </v>
      </c>
      <c r="I220" s="51" t="str">
        <f t="shared" si="21"/>
        <v/>
      </c>
      <c r="J220" s="106" t="str">
        <f t="shared" si="22"/>
        <v/>
      </c>
      <c r="K220" s="106" t="str">
        <f t="shared" si="24"/>
        <v xml:space="preserve"> </v>
      </c>
      <c r="L220" s="106" t="str">
        <f t="shared" si="23"/>
        <v/>
      </c>
      <c r="M220" s="51" t="str">
        <f t="shared" si="25"/>
        <v/>
      </c>
      <c r="N220" s="51"/>
      <c r="O220" s="51" t="str">
        <f t="shared" si="26"/>
        <v xml:space="preserve"> </v>
      </c>
    </row>
    <row r="221" spans="8:15" ht="15" x14ac:dyDescent="0.25">
      <c r="H221" s="50" t="str">
        <f t="shared" si="27"/>
        <v xml:space="preserve"> </v>
      </c>
      <c r="I221" s="51" t="str">
        <f t="shared" si="21"/>
        <v/>
      </c>
      <c r="J221" s="106" t="str">
        <f t="shared" si="22"/>
        <v/>
      </c>
      <c r="K221" s="106" t="str">
        <f t="shared" si="24"/>
        <v xml:space="preserve"> </v>
      </c>
      <c r="L221" s="106" t="str">
        <f t="shared" si="23"/>
        <v/>
      </c>
      <c r="M221" s="51" t="str">
        <f t="shared" si="25"/>
        <v/>
      </c>
      <c r="N221" s="51"/>
      <c r="O221" s="51" t="str">
        <f t="shared" si="26"/>
        <v xml:space="preserve"> </v>
      </c>
    </row>
    <row r="222" spans="8:15" ht="15" x14ac:dyDescent="0.25">
      <c r="H222" s="50" t="str">
        <f t="shared" si="27"/>
        <v xml:space="preserve"> </v>
      </c>
      <c r="I222" s="51" t="str">
        <f t="shared" si="21"/>
        <v/>
      </c>
      <c r="J222" s="106" t="str">
        <f t="shared" si="22"/>
        <v/>
      </c>
      <c r="K222" s="106" t="str">
        <f t="shared" si="24"/>
        <v xml:space="preserve"> </v>
      </c>
      <c r="L222" s="106" t="str">
        <f t="shared" si="23"/>
        <v/>
      </c>
      <c r="M222" s="51" t="str">
        <f t="shared" si="25"/>
        <v/>
      </c>
      <c r="N222" s="51"/>
      <c r="O222" s="51" t="str">
        <f t="shared" si="26"/>
        <v xml:space="preserve"> </v>
      </c>
    </row>
    <row r="223" spans="8:15" ht="15" x14ac:dyDescent="0.25">
      <c r="H223" s="50" t="str">
        <f t="shared" si="27"/>
        <v xml:space="preserve"> </v>
      </c>
      <c r="I223" s="51" t="str">
        <f t="shared" si="21"/>
        <v/>
      </c>
      <c r="J223" s="106" t="str">
        <f t="shared" si="22"/>
        <v/>
      </c>
      <c r="K223" s="106" t="str">
        <f t="shared" si="24"/>
        <v xml:space="preserve"> </v>
      </c>
      <c r="L223" s="106" t="str">
        <f t="shared" si="23"/>
        <v/>
      </c>
      <c r="M223" s="51" t="str">
        <f t="shared" si="25"/>
        <v/>
      </c>
      <c r="N223" s="51"/>
      <c r="O223" s="51" t="str">
        <f t="shared" si="26"/>
        <v xml:space="preserve"> </v>
      </c>
    </row>
    <row r="224" spans="8:15" ht="15" x14ac:dyDescent="0.25">
      <c r="H224" s="50" t="str">
        <f t="shared" si="27"/>
        <v xml:space="preserve"> </v>
      </c>
      <c r="I224" s="51" t="str">
        <f t="shared" si="21"/>
        <v/>
      </c>
      <c r="J224" s="106" t="str">
        <f t="shared" si="22"/>
        <v/>
      </c>
      <c r="K224" s="106" t="str">
        <f t="shared" si="24"/>
        <v xml:space="preserve"> </v>
      </c>
      <c r="L224" s="106" t="str">
        <f t="shared" si="23"/>
        <v/>
      </c>
      <c r="M224" s="51" t="str">
        <f t="shared" si="25"/>
        <v/>
      </c>
      <c r="N224" s="51"/>
      <c r="O224" s="51" t="str">
        <f t="shared" si="26"/>
        <v xml:space="preserve"> </v>
      </c>
    </row>
    <row r="225" spans="8:15" ht="15" x14ac:dyDescent="0.25">
      <c r="H225" s="50" t="str">
        <f t="shared" si="27"/>
        <v xml:space="preserve"> </v>
      </c>
      <c r="I225" s="51" t="str">
        <f t="shared" si="21"/>
        <v/>
      </c>
      <c r="J225" s="106" t="str">
        <f t="shared" si="22"/>
        <v/>
      </c>
      <c r="K225" s="106" t="str">
        <f t="shared" si="24"/>
        <v xml:space="preserve"> </v>
      </c>
      <c r="L225" s="106" t="str">
        <f t="shared" si="23"/>
        <v/>
      </c>
      <c r="M225" s="51" t="str">
        <f t="shared" si="25"/>
        <v/>
      </c>
      <c r="N225" s="51"/>
      <c r="O225" s="51" t="str">
        <f t="shared" si="26"/>
        <v xml:space="preserve"> </v>
      </c>
    </row>
    <row r="226" spans="8:15" ht="15" x14ac:dyDescent="0.25">
      <c r="H226" s="50" t="str">
        <f t="shared" si="27"/>
        <v xml:space="preserve"> </v>
      </c>
      <c r="I226" s="51" t="str">
        <f t="shared" si="21"/>
        <v/>
      </c>
      <c r="J226" s="106" t="str">
        <f t="shared" si="22"/>
        <v/>
      </c>
      <c r="K226" s="106" t="str">
        <f t="shared" si="24"/>
        <v xml:space="preserve"> </v>
      </c>
      <c r="L226" s="106" t="str">
        <f t="shared" si="23"/>
        <v/>
      </c>
      <c r="M226" s="51" t="str">
        <f t="shared" si="25"/>
        <v/>
      </c>
      <c r="N226" s="51"/>
      <c r="O226" s="51" t="str">
        <f t="shared" si="26"/>
        <v xml:space="preserve"> </v>
      </c>
    </row>
    <row r="227" spans="8:15" ht="15" x14ac:dyDescent="0.25">
      <c r="H227" s="50" t="str">
        <f t="shared" si="27"/>
        <v xml:space="preserve"> </v>
      </c>
      <c r="I227" s="51" t="str">
        <f t="shared" si="21"/>
        <v/>
      </c>
      <c r="J227" s="106" t="str">
        <f t="shared" si="22"/>
        <v/>
      </c>
      <c r="K227" s="106" t="str">
        <f t="shared" si="24"/>
        <v xml:space="preserve"> </v>
      </c>
      <c r="L227" s="106" t="str">
        <f t="shared" si="23"/>
        <v/>
      </c>
      <c r="M227" s="51" t="str">
        <f t="shared" si="25"/>
        <v/>
      </c>
      <c r="N227" s="51"/>
      <c r="O227" s="51" t="str">
        <f t="shared" si="26"/>
        <v xml:space="preserve"> </v>
      </c>
    </row>
    <row r="228" spans="8:15" ht="15" x14ac:dyDescent="0.25">
      <c r="H228" s="50" t="str">
        <f t="shared" si="27"/>
        <v xml:space="preserve"> </v>
      </c>
      <c r="I228" s="51" t="str">
        <f t="shared" si="21"/>
        <v/>
      </c>
      <c r="J228" s="106" t="str">
        <f t="shared" si="22"/>
        <v/>
      </c>
      <c r="K228" s="106" t="str">
        <f t="shared" si="24"/>
        <v xml:space="preserve"> </v>
      </c>
      <c r="L228" s="106" t="str">
        <f t="shared" si="23"/>
        <v/>
      </c>
      <c r="M228" s="51" t="str">
        <f t="shared" si="25"/>
        <v/>
      </c>
      <c r="N228" s="51"/>
      <c r="O228" s="51" t="str">
        <f t="shared" si="26"/>
        <v xml:space="preserve"> </v>
      </c>
    </row>
    <row r="229" spans="8:15" ht="15" x14ac:dyDescent="0.25">
      <c r="H229" s="50" t="str">
        <f t="shared" si="27"/>
        <v xml:space="preserve"> </v>
      </c>
      <c r="I229" s="51" t="str">
        <f t="shared" si="21"/>
        <v/>
      </c>
      <c r="J229" s="106" t="str">
        <f t="shared" si="22"/>
        <v/>
      </c>
      <c r="K229" s="106" t="str">
        <f t="shared" si="24"/>
        <v xml:space="preserve"> </v>
      </c>
      <c r="L229" s="106" t="str">
        <f t="shared" si="23"/>
        <v/>
      </c>
      <c r="M229" s="51" t="str">
        <f t="shared" si="25"/>
        <v/>
      </c>
      <c r="N229" s="51"/>
      <c r="O229" s="51" t="str">
        <f t="shared" si="26"/>
        <v xml:space="preserve"> </v>
      </c>
    </row>
    <row r="230" spans="8:15" ht="15" x14ac:dyDescent="0.25">
      <c r="H230" s="50" t="str">
        <f t="shared" si="27"/>
        <v xml:space="preserve"> </v>
      </c>
      <c r="I230" s="51" t="str">
        <f t="shared" si="21"/>
        <v/>
      </c>
      <c r="J230" s="106" t="str">
        <f t="shared" si="22"/>
        <v/>
      </c>
      <c r="K230" s="106" t="str">
        <f t="shared" si="24"/>
        <v xml:space="preserve"> </v>
      </c>
      <c r="L230" s="106" t="str">
        <f t="shared" si="23"/>
        <v/>
      </c>
      <c r="M230" s="51" t="str">
        <f t="shared" si="25"/>
        <v/>
      </c>
      <c r="N230" s="51"/>
      <c r="O230" s="51" t="str">
        <f t="shared" si="26"/>
        <v xml:space="preserve"> </v>
      </c>
    </row>
    <row r="231" spans="8:15" ht="15" x14ac:dyDescent="0.25">
      <c r="H231" s="50" t="str">
        <f t="shared" si="27"/>
        <v xml:space="preserve"> </v>
      </c>
      <c r="I231" s="51" t="str">
        <f t="shared" si="21"/>
        <v/>
      </c>
      <c r="J231" s="106" t="str">
        <f t="shared" si="22"/>
        <v/>
      </c>
      <c r="K231" s="106" t="str">
        <f t="shared" si="24"/>
        <v xml:space="preserve"> </v>
      </c>
      <c r="L231" s="106" t="str">
        <f t="shared" si="23"/>
        <v/>
      </c>
      <c r="M231" s="51" t="str">
        <f t="shared" si="25"/>
        <v/>
      </c>
      <c r="N231" s="51"/>
      <c r="O231" s="51" t="str">
        <f t="shared" si="26"/>
        <v xml:space="preserve"> </v>
      </c>
    </row>
    <row r="232" spans="8:15" ht="15" x14ac:dyDescent="0.25">
      <c r="H232" s="50" t="str">
        <f t="shared" si="27"/>
        <v xml:space="preserve"> </v>
      </c>
      <c r="I232" s="51" t="str">
        <f t="shared" si="21"/>
        <v/>
      </c>
      <c r="J232" s="106" t="str">
        <f t="shared" si="22"/>
        <v/>
      </c>
      <c r="K232" s="106" t="str">
        <f t="shared" si="24"/>
        <v xml:space="preserve"> </v>
      </c>
      <c r="L232" s="106" t="str">
        <f t="shared" si="23"/>
        <v/>
      </c>
      <c r="M232" s="51" t="str">
        <f t="shared" si="25"/>
        <v/>
      </c>
      <c r="N232" s="51"/>
      <c r="O232" s="51" t="str">
        <f t="shared" si="26"/>
        <v xml:space="preserve"> </v>
      </c>
    </row>
    <row r="233" spans="8:15" ht="15" x14ac:dyDescent="0.25">
      <c r="H233" s="50" t="str">
        <f t="shared" si="27"/>
        <v xml:space="preserve"> </v>
      </c>
      <c r="I233" s="51" t="str">
        <f t="shared" si="21"/>
        <v/>
      </c>
      <c r="J233" s="106" t="str">
        <f t="shared" si="22"/>
        <v/>
      </c>
      <c r="K233" s="106" t="str">
        <f t="shared" si="24"/>
        <v xml:space="preserve"> </v>
      </c>
      <c r="L233" s="106" t="str">
        <f t="shared" si="23"/>
        <v/>
      </c>
      <c r="M233" s="51" t="str">
        <f t="shared" si="25"/>
        <v/>
      </c>
      <c r="N233" s="51"/>
      <c r="O233" s="51" t="str">
        <f t="shared" si="26"/>
        <v xml:space="preserve"> </v>
      </c>
    </row>
    <row r="234" spans="8:15" ht="15" x14ac:dyDescent="0.25">
      <c r="H234" s="50" t="str">
        <f t="shared" si="27"/>
        <v xml:space="preserve"> </v>
      </c>
      <c r="I234" s="51" t="str">
        <f t="shared" si="21"/>
        <v/>
      </c>
      <c r="J234" s="106" t="str">
        <f t="shared" si="22"/>
        <v/>
      </c>
      <c r="K234" s="106" t="str">
        <f t="shared" si="24"/>
        <v xml:space="preserve"> </v>
      </c>
      <c r="L234" s="106" t="str">
        <f t="shared" si="23"/>
        <v/>
      </c>
      <c r="M234" s="51" t="str">
        <f t="shared" si="25"/>
        <v/>
      </c>
      <c r="N234" s="51"/>
      <c r="O234" s="51" t="str">
        <f t="shared" si="26"/>
        <v xml:space="preserve"> </v>
      </c>
    </row>
    <row r="235" spans="8:15" ht="15" x14ac:dyDescent="0.25">
      <c r="H235" s="50" t="str">
        <f t="shared" si="27"/>
        <v xml:space="preserve"> </v>
      </c>
      <c r="I235" s="51" t="str">
        <f t="shared" si="21"/>
        <v/>
      </c>
      <c r="J235" s="106" t="str">
        <f t="shared" si="22"/>
        <v/>
      </c>
      <c r="K235" s="106" t="str">
        <f t="shared" si="24"/>
        <v xml:space="preserve"> </v>
      </c>
      <c r="L235" s="106" t="str">
        <f t="shared" si="23"/>
        <v/>
      </c>
      <c r="M235" s="51" t="str">
        <f t="shared" si="25"/>
        <v/>
      </c>
      <c r="N235" s="51"/>
      <c r="O235" s="51" t="str">
        <f t="shared" si="26"/>
        <v xml:space="preserve"> </v>
      </c>
    </row>
    <row r="236" spans="8:15" ht="15" x14ac:dyDescent="0.25">
      <c r="H236" s="50" t="str">
        <f t="shared" si="27"/>
        <v xml:space="preserve"> </v>
      </c>
      <c r="I236" s="51" t="str">
        <f t="shared" si="21"/>
        <v/>
      </c>
      <c r="J236" s="106" t="str">
        <f t="shared" si="22"/>
        <v/>
      </c>
      <c r="K236" s="106" t="str">
        <f t="shared" si="24"/>
        <v xml:space="preserve"> </v>
      </c>
      <c r="L236" s="106" t="str">
        <f t="shared" si="23"/>
        <v/>
      </c>
      <c r="M236" s="51" t="str">
        <f t="shared" si="25"/>
        <v/>
      </c>
      <c r="N236" s="51"/>
      <c r="O236" s="51" t="str">
        <f t="shared" si="26"/>
        <v xml:space="preserve"> </v>
      </c>
    </row>
    <row r="237" spans="8:15" ht="15" x14ac:dyDescent="0.25">
      <c r="H237" s="50" t="str">
        <f t="shared" si="27"/>
        <v xml:space="preserve"> </v>
      </c>
      <c r="I237" s="51" t="str">
        <f t="shared" si="21"/>
        <v/>
      </c>
      <c r="J237" s="106" t="str">
        <f t="shared" si="22"/>
        <v/>
      </c>
      <c r="K237" s="106" t="str">
        <f t="shared" si="24"/>
        <v xml:space="preserve"> </v>
      </c>
      <c r="L237" s="106" t="str">
        <f t="shared" si="23"/>
        <v/>
      </c>
      <c r="M237" s="51" t="str">
        <f t="shared" si="25"/>
        <v/>
      </c>
      <c r="N237" s="51"/>
      <c r="O237" s="51" t="str">
        <f t="shared" si="26"/>
        <v xml:space="preserve"> </v>
      </c>
    </row>
    <row r="238" spans="8:15" ht="15" x14ac:dyDescent="0.25">
      <c r="H238" s="50" t="str">
        <f t="shared" si="27"/>
        <v xml:space="preserve"> </v>
      </c>
      <c r="I238" s="51" t="str">
        <f t="shared" si="21"/>
        <v/>
      </c>
      <c r="J238" s="106" t="str">
        <f t="shared" si="22"/>
        <v/>
      </c>
      <c r="K238" s="106" t="str">
        <f t="shared" si="24"/>
        <v xml:space="preserve"> </v>
      </c>
      <c r="L238" s="106" t="str">
        <f t="shared" si="23"/>
        <v/>
      </c>
      <c r="M238" s="51" t="str">
        <f t="shared" si="25"/>
        <v/>
      </c>
      <c r="N238" s="51"/>
      <c r="O238" s="51" t="str">
        <f t="shared" si="26"/>
        <v xml:space="preserve"> </v>
      </c>
    </row>
    <row r="239" spans="8:15" ht="15" x14ac:dyDescent="0.25">
      <c r="H239" s="50" t="str">
        <f t="shared" si="27"/>
        <v xml:space="preserve"> </v>
      </c>
      <c r="I239" s="51" t="str">
        <f t="shared" si="21"/>
        <v/>
      </c>
      <c r="J239" s="106" t="str">
        <f t="shared" si="22"/>
        <v/>
      </c>
      <c r="K239" s="106" t="str">
        <f t="shared" si="24"/>
        <v xml:space="preserve"> </v>
      </c>
      <c r="L239" s="106" t="str">
        <f t="shared" si="23"/>
        <v/>
      </c>
      <c r="M239" s="51" t="str">
        <f t="shared" si="25"/>
        <v/>
      </c>
      <c r="N239" s="51"/>
      <c r="O239" s="51" t="str">
        <f t="shared" si="26"/>
        <v xml:space="preserve"> </v>
      </c>
    </row>
    <row r="240" spans="8:15" ht="15" x14ac:dyDescent="0.25">
      <c r="H240" s="50" t="str">
        <f t="shared" si="27"/>
        <v xml:space="preserve"> </v>
      </c>
      <c r="I240" s="51" t="str">
        <f t="shared" si="21"/>
        <v/>
      </c>
      <c r="J240" s="106" t="str">
        <f t="shared" si="22"/>
        <v/>
      </c>
      <c r="K240" s="106" t="str">
        <f t="shared" si="24"/>
        <v xml:space="preserve"> </v>
      </c>
      <c r="L240" s="106" t="str">
        <f t="shared" si="23"/>
        <v/>
      </c>
      <c r="M240" s="51" t="str">
        <f t="shared" si="25"/>
        <v/>
      </c>
      <c r="N240" s="51"/>
      <c r="O240" s="51" t="str">
        <f t="shared" si="26"/>
        <v xml:space="preserve"> </v>
      </c>
    </row>
    <row r="241" spans="8:15" ht="15" x14ac:dyDescent="0.25">
      <c r="H241" s="50" t="str">
        <f t="shared" si="27"/>
        <v xml:space="preserve"> </v>
      </c>
      <c r="I241" s="51" t="str">
        <f t="shared" si="21"/>
        <v/>
      </c>
      <c r="J241" s="106" t="str">
        <f t="shared" si="22"/>
        <v/>
      </c>
      <c r="K241" s="106" t="str">
        <f t="shared" si="24"/>
        <v xml:space="preserve"> </v>
      </c>
      <c r="L241" s="106" t="str">
        <f t="shared" si="23"/>
        <v/>
      </c>
      <c r="M241" s="51" t="str">
        <f t="shared" si="25"/>
        <v/>
      </c>
      <c r="N241" s="51"/>
      <c r="O241" s="51" t="str">
        <f t="shared" si="26"/>
        <v xml:space="preserve"> </v>
      </c>
    </row>
    <row r="242" spans="8:15" ht="15" x14ac:dyDescent="0.25">
      <c r="H242" s="50" t="str">
        <f t="shared" si="27"/>
        <v xml:space="preserve"> </v>
      </c>
      <c r="I242" s="51" t="str">
        <f t="shared" si="21"/>
        <v/>
      </c>
      <c r="J242" s="106" t="str">
        <f t="shared" si="22"/>
        <v/>
      </c>
      <c r="K242" s="106" t="str">
        <f t="shared" si="24"/>
        <v xml:space="preserve"> </v>
      </c>
      <c r="L242" s="106" t="str">
        <f t="shared" si="23"/>
        <v/>
      </c>
      <c r="M242" s="51" t="str">
        <f t="shared" si="25"/>
        <v/>
      </c>
      <c r="N242" s="51"/>
      <c r="O242" s="51" t="str">
        <f t="shared" si="26"/>
        <v xml:space="preserve"> </v>
      </c>
    </row>
    <row r="243" spans="8:15" ht="15" x14ac:dyDescent="0.25">
      <c r="H243" s="50" t="str">
        <f t="shared" si="27"/>
        <v xml:space="preserve"> </v>
      </c>
      <c r="I243" s="51" t="str">
        <f t="shared" si="21"/>
        <v/>
      </c>
      <c r="J243" s="106" t="str">
        <f t="shared" si="22"/>
        <v/>
      </c>
      <c r="K243" s="106" t="str">
        <f t="shared" si="24"/>
        <v xml:space="preserve"> </v>
      </c>
      <c r="L243" s="106" t="str">
        <f t="shared" si="23"/>
        <v/>
      </c>
      <c r="M243" s="51" t="str">
        <f t="shared" si="25"/>
        <v/>
      </c>
      <c r="N243" s="51"/>
      <c r="O243" s="51" t="str">
        <f t="shared" si="26"/>
        <v xml:space="preserve"> </v>
      </c>
    </row>
    <row r="244" spans="8:15" ht="15" x14ac:dyDescent="0.25">
      <c r="H244" s="50" t="str">
        <f t="shared" si="27"/>
        <v xml:space="preserve"> </v>
      </c>
      <c r="I244" s="51" t="str">
        <f t="shared" si="21"/>
        <v/>
      </c>
      <c r="J244" s="106" t="str">
        <f t="shared" si="22"/>
        <v/>
      </c>
      <c r="K244" s="106" t="str">
        <f t="shared" si="24"/>
        <v xml:space="preserve"> </v>
      </c>
      <c r="L244" s="106" t="str">
        <f t="shared" si="23"/>
        <v/>
      </c>
      <c r="M244" s="51" t="str">
        <f t="shared" si="25"/>
        <v/>
      </c>
      <c r="N244" s="51"/>
      <c r="O244" s="51" t="str">
        <f t="shared" si="26"/>
        <v xml:space="preserve"> </v>
      </c>
    </row>
    <row r="245" spans="8:15" ht="15" x14ac:dyDescent="0.25">
      <c r="H245" s="50" t="str">
        <f t="shared" si="27"/>
        <v xml:space="preserve"> </v>
      </c>
      <c r="I245" s="51" t="str">
        <f t="shared" si="21"/>
        <v/>
      </c>
      <c r="J245" s="106" t="str">
        <f t="shared" si="22"/>
        <v/>
      </c>
      <c r="K245" s="106" t="str">
        <f t="shared" si="24"/>
        <v xml:space="preserve"> </v>
      </c>
      <c r="L245" s="106" t="str">
        <f t="shared" si="23"/>
        <v/>
      </c>
      <c r="M245" s="51" t="str">
        <f t="shared" si="25"/>
        <v/>
      </c>
      <c r="N245" s="51"/>
      <c r="O245" s="51" t="str">
        <f t="shared" si="26"/>
        <v xml:space="preserve"> </v>
      </c>
    </row>
    <row r="246" spans="8:15" ht="15" x14ac:dyDescent="0.25">
      <c r="H246" s="50" t="str">
        <f t="shared" si="27"/>
        <v xml:space="preserve"> </v>
      </c>
      <c r="I246" s="51" t="str">
        <f t="shared" si="21"/>
        <v/>
      </c>
      <c r="J246" s="106" t="str">
        <f t="shared" si="22"/>
        <v/>
      </c>
      <c r="K246" s="106" t="str">
        <f t="shared" si="24"/>
        <v xml:space="preserve"> </v>
      </c>
      <c r="L246" s="106" t="str">
        <f t="shared" si="23"/>
        <v/>
      </c>
      <c r="M246" s="51" t="str">
        <f t="shared" si="25"/>
        <v/>
      </c>
      <c r="N246" s="51"/>
      <c r="O246" s="51" t="str">
        <f t="shared" si="26"/>
        <v xml:space="preserve"> </v>
      </c>
    </row>
    <row r="247" spans="8:15" ht="15" x14ac:dyDescent="0.25">
      <c r="H247" s="50" t="str">
        <f t="shared" si="27"/>
        <v xml:space="preserve"> </v>
      </c>
      <c r="I247" s="51" t="str">
        <f t="shared" si="21"/>
        <v/>
      </c>
      <c r="J247" s="106" t="str">
        <f t="shared" si="22"/>
        <v/>
      </c>
      <c r="K247" s="106" t="str">
        <f t="shared" si="24"/>
        <v xml:space="preserve"> </v>
      </c>
      <c r="L247" s="106" t="str">
        <f t="shared" si="23"/>
        <v/>
      </c>
      <c r="M247" s="51" t="str">
        <f t="shared" si="25"/>
        <v/>
      </c>
      <c r="N247" s="51"/>
      <c r="O247" s="51" t="str">
        <f t="shared" si="26"/>
        <v xml:space="preserve"> </v>
      </c>
    </row>
    <row r="248" spans="8:15" ht="15" x14ac:dyDescent="0.25">
      <c r="H248" s="50" t="str">
        <f t="shared" si="27"/>
        <v xml:space="preserve"> </v>
      </c>
      <c r="I248" s="51" t="str">
        <f t="shared" si="21"/>
        <v/>
      </c>
      <c r="J248" s="106" t="str">
        <f t="shared" si="22"/>
        <v/>
      </c>
      <c r="K248" s="106" t="str">
        <f t="shared" si="24"/>
        <v xml:space="preserve"> </v>
      </c>
      <c r="L248" s="106" t="str">
        <f t="shared" si="23"/>
        <v/>
      </c>
      <c r="M248" s="51" t="str">
        <f t="shared" si="25"/>
        <v/>
      </c>
      <c r="N248" s="51"/>
      <c r="O248" s="51" t="str">
        <f t="shared" si="26"/>
        <v xml:space="preserve"> </v>
      </c>
    </row>
    <row r="249" spans="8:15" ht="15" x14ac:dyDescent="0.25">
      <c r="H249" s="50" t="str">
        <f t="shared" si="27"/>
        <v xml:space="preserve"> </v>
      </c>
      <c r="I249" s="51" t="str">
        <f t="shared" si="21"/>
        <v/>
      </c>
      <c r="J249" s="106" t="str">
        <f t="shared" si="22"/>
        <v/>
      </c>
      <c r="K249" s="106" t="str">
        <f t="shared" si="24"/>
        <v xml:space="preserve"> </v>
      </c>
      <c r="L249" s="106" t="str">
        <f t="shared" si="23"/>
        <v/>
      </c>
      <c r="M249" s="51" t="str">
        <f t="shared" si="25"/>
        <v/>
      </c>
      <c r="N249" s="51"/>
      <c r="O249" s="51" t="str">
        <f t="shared" si="26"/>
        <v xml:space="preserve"> </v>
      </c>
    </row>
    <row r="250" spans="8:15" ht="15" x14ac:dyDescent="0.25">
      <c r="H250" s="50" t="str">
        <f t="shared" si="27"/>
        <v xml:space="preserve"> </v>
      </c>
      <c r="I250" s="51" t="str">
        <f t="shared" si="21"/>
        <v/>
      </c>
      <c r="J250" s="106" t="str">
        <f t="shared" si="22"/>
        <v/>
      </c>
      <c r="K250" s="106" t="str">
        <f t="shared" si="24"/>
        <v xml:space="preserve"> </v>
      </c>
      <c r="L250" s="106" t="str">
        <f t="shared" si="23"/>
        <v/>
      </c>
      <c r="M250" s="51" t="str">
        <f t="shared" si="25"/>
        <v/>
      </c>
      <c r="N250" s="51"/>
      <c r="O250" s="51" t="str">
        <f t="shared" si="26"/>
        <v xml:space="preserve"> </v>
      </c>
    </row>
    <row r="251" spans="8:15" ht="15" x14ac:dyDescent="0.25">
      <c r="H251" s="50" t="str">
        <f t="shared" si="27"/>
        <v xml:space="preserve"> </v>
      </c>
      <c r="I251" s="51" t="str">
        <f t="shared" si="21"/>
        <v/>
      </c>
      <c r="J251" s="106" t="str">
        <f t="shared" si="22"/>
        <v/>
      </c>
      <c r="K251" s="106" t="str">
        <f t="shared" si="24"/>
        <v xml:space="preserve"> </v>
      </c>
      <c r="L251" s="106" t="str">
        <f t="shared" si="23"/>
        <v/>
      </c>
      <c r="M251" s="51" t="str">
        <f t="shared" si="25"/>
        <v/>
      </c>
      <c r="N251" s="51"/>
      <c r="O251" s="51" t="str">
        <f t="shared" si="26"/>
        <v xml:space="preserve"> </v>
      </c>
    </row>
    <row r="252" spans="8:15" ht="15" x14ac:dyDescent="0.25">
      <c r="H252" s="50" t="str">
        <f t="shared" si="27"/>
        <v xml:space="preserve"> </v>
      </c>
      <c r="I252" s="51" t="str">
        <f t="shared" si="21"/>
        <v/>
      </c>
      <c r="J252" s="106" t="str">
        <f t="shared" si="22"/>
        <v/>
      </c>
      <c r="K252" s="106" t="str">
        <f t="shared" si="24"/>
        <v xml:space="preserve"> </v>
      </c>
      <c r="L252" s="106" t="str">
        <f t="shared" si="23"/>
        <v/>
      </c>
      <c r="M252" s="51" t="str">
        <f t="shared" si="25"/>
        <v/>
      </c>
      <c r="N252" s="51"/>
      <c r="O252" s="51" t="str">
        <f t="shared" si="26"/>
        <v xml:space="preserve"> </v>
      </c>
    </row>
    <row r="253" spans="8:15" ht="15" x14ac:dyDescent="0.25">
      <c r="H253" s="50" t="str">
        <f t="shared" si="27"/>
        <v xml:space="preserve"> </v>
      </c>
      <c r="I253" s="51" t="str">
        <f t="shared" si="21"/>
        <v/>
      </c>
      <c r="J253" s="106" t="str">
        <f t="shared" si="22"/>
        <v/>
      </c>
      <c r="K253" s="106" t="str">
        <f t="shared" si="24"/>
        <v xml:space="preserve"> </v>
      </c>
      <c r="L253" s="106" t="str">
        <f t="shared" si="23"/>
        <v/>
      </c>
      <c r="M253" s="51" t="str">
        <f t="shared" si="25"/>
        <v/>
      </c>
      <c r="N253" s="51"/>
      <c r="O253" s="51" t="str">
        <f t="shared" si="26"/>
        <v xml:space="preserve"> </v>
      </c>
    </row>
    <row r="254" spans="8:15" ht="15" x14ac:dyDescent="0.25">
      <c r="H254" s="50" t="str">
        <f t="shared" si="27"/>
        <v xml:space="preserve"> </v>
      </c>
      <c r="I254" s="51" t="str">
        <f t="shared" si="21"/>
        <v/>
      </c>
      <c r="J254" s="106" t="str">
        <f t="shared" si="22"/>
        <v/>
      </c>
      <c r="K254" s="106" t="str">
        <f t="shared" si="24"/>
        <v xml:space="preserve"> </v>
      </c>
      <c r="L254" s="106" t="str">
        <f t="shared" si="23"/>
        <v/>
      </c>
      <c r="M254" s="51" t="str">
        <f t="shared" si="25"/>
        <v/>
      </c>
      <c r="N254" s="51"/>
      <c r="O254" s="51" t="str">
        <f t="shared" si="26"/>
        <v xml:space="preserve"> </v>
      </c>
    </row>
    <row r="255" spans="8:15" ht="15" x14ac:dyDescent="0.25">
      <c r="H255" s="50" t="str">
        <f t="shared" si="27"/>
        <v xml:space="preserve"> </v>
      </c>
      <c r="I255" s="51" t="str">
        <f t="shared" si="21"/>
        <v/>
      </c>
      <c r="J255" s="106" t="str">
        <f t="shared" si="22"/>
        <v/>
      </c>
      <c r="K255" s="106" t="str">
        <f t="shared" si="24"/>
        <v xml:space="preserve"> </v>
      </c>
      <c r="L255" s="106" t="str">
        <f t="shared" si="23"/>
        <v/>
      </c>
      <c r="M255" s="51" t="str">
        <f t="shared" si="25"/>
        <v/>
      </c>
      <c r="N255" s="51"/>
      <c r="O255" s="51" t="str">
        <f t="shared" si="26"/>
        <v xml:space="preserve"> </v>
      </c>
    </row>
    <row r="256" spans="8:15" ht="15" x14ac:dyDescent="0.25">
      <c r="H256" s="50" t="str">
        <f t="shared" si="27"/>
        <v xml:space="preserve"> </v>
      </c>
      <c r="I256" s="51" t="str">
        <f t="shared" si="21"/>
        <v/>
      </c>
      <c r="J256" s="106" t="str">
        <f t="shared" si="22"/>
        <v/>
      </c>
      <c r="K256" s="106" t="str">
        <f t="shared" si="24"/>
        <v xml:space="preserve"> </v>
      </c>
      <c r="L256" s="106" t="str">
        <f t="shared" si="23"/>
        <v/>
      </c>
      <c r="M256" s="51" t="str">
        <f t="shared" si="25"/>
        <v/>
      </c>
      <c r="N256" s="51"/>
      <c r="O256" s="51" t="str">
        <f t="shared" si="26"/>
        <v xml:space="preserve"> </v>
      </c>
    </row>
    <row r="257" spans="8:15" ht="15" x14ac:dyDescent="0.25">
      <c r="H257" s="50" t="str">
        <f t="shared" si="27"/>
        <v xml:space="preserve"> </v>
      </c>
      <c r="I257" s="51" t="str">
        <f t="shared" si="21"/>
        <v/>
      </c>
      <c r="J257" s="106" t="str">
        <f t="shared" si="22"/>
        <v/>
      </c>
      <c r="K257" s="106" t="str">
        <f t="shared" si="24"/>
        <v xml:space="preserve"> </v>
      </c>
      <c r="L257" s="106" t="str">
        <f t="shared" si="23"/>
        <v/>
      </c>
      <c r="M257" s="51" t="str">
        <f t="shared" si="25"/>
        <v/>
      </c>
      <c r="N257" s="51"/>
      <c r="O257" s="51" t="str">
        <f t="shared" si="26"/>
        <v xml:space="preserve"> </v>
      </c>
    </row>
    <row r="258" spans="8:15" ht="15" x14ac:dyDescent="0.25">
      <c r="H258" s="50" t="str">
        <f t="shared" si="27"/>
        <v xml:space="preserve"> </v>
      </c>
      <c r="I258" s="51" t="str">
        <f t="shared" si="21"/>
        <v/>
      </c>
      <c r="J258" s="106" t="str">
        <f t="shared" si="22"/>
        <v/>
      </c>
      <c r="K258" s="106" t="str">
        <f t="shared" si="24"/>
        <v xml:space="preserve"> </v>
      </c>
      <c r="L258" s="106" t="str">
        <f t="shared" si="23"/>
        <v/>
      </c>
      <c r="M258" s="51" t="str">
        <f t="shared" si="25"/>
        <v/>
      </c>
      <c r="N258" s="51"/>
      <c r="O258" s="51" t="str">
        <f t="shared" si="26"/>
        <v xml:space="preserve"> </v>
      </c>
    </row>
    <row r="259" spans="8:15" ht="15" x14ac:dyDescent="0.25">
      <c r="H259" s="50" t="str">
        <f t="shared" si="27"/>
        <v xml:space="preserve"> </v>
      </c>
      <c r="I259" s="51" t="str">
        <f t="shared" si="21"/>
        <v/>
      </c>
      <c r="J259" s="106" t="str">
        <f t="shared" si="22"/>
        <v/>
      </c>
      <c r="K259" s="106" t="str">
        <f t="shared" si="24"/>
        <v xml:space="preserve"> </v>
      </c>
      <c r="L259" s="106" t="str">
        <f t="shared" si="23"/>
        <v/>
      </c>
      <c r="M259" s="51" t="str">
        <f t="shared" si="25"/>
        <v/>
      </c>
      <c r="N259" s="51"/>
      <c r="O259" s="51" t="str">
        <f t="shared" si="26"/>
        <v xml:space="preserve"> </v>
      </c>
    </row>
    <row r="260" spans="8:15" ht="15" x14ac:dyDescent="0.25">
      <c r="H260" s="50" t="str">
        <f t="shared" si="27"/>
        <v xml:space="preserve"> </v>
      </c>
      <c r="I260" s="51" t="str">
        <f t="shared" si="21"/>
        <v/>
      </c>
      <c r="J260" s="106" t="str">
        <f t="shared" si="22"/>
        <v/>
      </c>
      <c r="K260" s="106" t="str">
        <f t="shared" si="24"/>
        <v xml:space="preserve"> </v>
      </c>
      <c r="L260" s="106" t="str">
        <f t="shared" si="23"/>
        <v/>
      </c>
      <c r="M260" s="51" t="str">
        <f t="shared" si="25"/>
        <v/>
      </c>
      <c r="N260" s="51"/>
      <c r="O260" s="51" t="str">
        <f t="shared" si="26"/>
        <v xml:space="preserve"> </v>
      </c>
    </row>
    <row r="261" spans="8:15" ht="15" x14ac:dyDescent="0.25">
      <c r="H261" s="50" t="str">
        <f t="shared" si="27"/>
        <v xml:space="preserve"> </v>
      </c>
      <c r="I261" s="51" t="str">
        <f t="shared" si="21"/>
        <v/>
      </c>
      <c r="J261" s="106" t="str">
        <f t="shared" si="22"/>
        <v/>
      </c>
      <c r="K261" s="106" t="str">
        <f t="shared" si="24"/>
        <v xml:space="preserve"> </v>
      </c>
      <c r="L261" s="106" t="str">
        <f t="shared" si="23"/>
        <v/>
      </c>
      <c r="M261" s="51" t="str">
        <f t="shared" si="25"/>
        <v/>
      </c>
      <c r="N261" s="51"/>
      <c r="O261" s="51" t="str">
        <f t="shared" si="26"/>
        <v xml:space="preserve"> </v>
      </c>
    </row>
    <row r="262" spans="8:15" ht="15" x14ac:dyDescent="0.25">
      <c r="H262" s="50" t="str">
        <f t="shared" si="27"/>
        <v xml:space="preserve"> </v>
      </c>
      <c r="I262" s="51" t="str">
        <f t="shared" si="21"/>
        <v/>
      </c>
      <c r="J262" s="106" t="str">
        <f t="shared" si="22"/>
        <v/>
      </c>
      <c r="K262" s="106" t="str">
        <f t="shared" si="24"/>
        <v xml:space="preserve"> </v>
      </c>
      <c r="L262" s="106" t="str">
        <f t="shared" si="23"/>
        <v/>
      </c>
      <c r="M262" s="51" t="str">
        <f t="shared" si="25"/>
        <v/>
      </c>
      <c r="N262" s="51"/>
      <c r="O262" s="51" t="str">
        <f t="shared" si="26"/>
        <v xml:space="preserve"> </v>
      </c>
    </row>
    <row r="263" spans="8:15" ht="15" x14ac:dyDescent="0.25">
      <c r="H263" s="50" t="str">
        <f t="shared" si="27"/>
        <v xml:space="preserve"> </v>
      </c>
      <c r="I263" s="51" t="str">
        <f t="shared" si="21"/>
        <v/>
      </c>
      <c r="J263" s="106" t="str">
        <f t="shared" si="22"/>
        <v/>
      </c>
      <c r="K263" s="106" t="str">
        <f t="shared" si="24"/>
        <v xml:space="preserve"> </v>
      </c>
      <c r="L263" s="106" t="str">
        <f t="shared" si="23"/>
        <v/>
      </c>
      <c r="M263" s="51" t="str">
        <f t="shared" si="25"/>
        <v/>
      </c>
      <c r="N263" s="51"/>
      <c r="O263" s="51" t="str">
        <f t="shared" si="26"/>
        <v xml:space="preserve"> </v>
      </c>
    </row>
    <row r="264" spans="8:15" ht="15" x14ac:dyDescent="0.25">
      <c r="H264" s="50" t="str">
        <f t="shared" si="27"/>
        <v xml:space="preserve"> </v>
      </c>
      <c r="I264" s="51" t="str">
        <f t="shared" si="21"/>
        <v/>
      </c>
      <c r="J264" s="106" t="str">
        <f t="shared" si="22"/>
        <v/>
      </c>
      <c r="K264" s="106" t="str">
        <f t="shared" si="24"/>
        <v xml:space="preserve"> </v>
      </c>
      <c r="L264" s="106" t="str">
        <f t="shared" si="23"/>
        <v/>
      </c>
      <c r="M264" s="51" t="str">
        <f t="shared" si="25"/>
        <v/>
      </c>
      <c r="N264" s="51"/>
      <c r="O264" s="51" t="str">
        <f t="shared" si="26"/>
        <v xml:space="preserve"> </v>
      </c>
    </row>
    <row r="265" spans="8:15" ht="15" x14ac:dyDescent="0.25">
      <c r="H265" s="50" t="str">
        <f t="shared" si="27"/>
        <v xml:space="preserve"> </v>
      </c>
      <c r="I265" s="51" t="str">
        <f t="shared" si="21"/>
        <v/>
      </c>
      <c r="J265" s="106" t="str">
        <f t="shared" si="22"/>
        <v/>
      </c>
      <c r="K265" s="106" t="str">
        <f t="shared" si="24"/>
        <v xml:space="preserve"> </v>
      </c>
      <c r="L265" s="106" t="str">
        <f t="shared" si="23"/>
        <v/>
      </c>
      <c r="M265" s="51" t="str">
        <f t="shared" si="25"/>
        <v/>
      </c>
      <c r="N265" s="51"/>
      <c r="O265" s="51" t="str">
        <f t="shared" si="26"/>
        <v xml:space="preserve"> </v>
      </c>
    </row>
    <row r="266" spans="8:15" ht="15" x14ac:dyDescent="0.25">
      <c r="H266" s="50" t="str">
        <f t="shared" si="27"/>
        <v xml:space="preserve"> </v>
      </c>
      <c r="I266" s="51" t="str">
        <f t="shared" si="21"/>
        <v/>
      </c>
      <c r="J266" s="106" t="str">
        <f t="shared" si="22"/>
        <v/>
      </c>
      <c r="K266" s="106" t="str">
        <f t="shared" si="24"/>
        <v xml:space="preserve"> </v>
      </c>
      <c r="L266" s="106" t="str">
        <f t="shared" si="23"/>
        <v/>
      </c>
      <c r="M266" s="51" t="str">
        <f t="shared" si="25"/>
        <v/>
      </c>
      <c r="N266" s="51"/>
      <c r="O266" s="51" t="str">
        <f t="shared" si="26"/>
        <v xml:space="preserve"> </v>
      </c>
    </row>
    <row r="267" spans="8:15" ht="15" x14ac:dyDescent="0.25">
      <c r="H267" s="50" t="str">
        <f t="shared" si="27"/>
        <v xml:space="preserve"> </v>
      </c>
      <c r="I267" s="51" t="str">
        <f t="shared" si="21"/>
        <v/>
      </c>
      <c r="J267" s="106" t="str">
        <f t="shared" si="22"/>
        <v/>
      </c>
      <c r="K267" s="106" t="str">
        <f t="shared" si="24"/>
        <v xml:space="preserve"> </v>
      </c>
      <c r="L267" s="106" t="str">
        <f t="shared" si="23"/>
        <v/>
      </c>
      <c r="M267" s="51" t="str">
        <f t="shared" si="25"/>
        <v/>
      </c>
      <c r="N267" s="51"/>
      <c r="O267" s="51" t="str">
        <f t="shared" si="26"/>
        <v xml:space="preserve"> </v>
      </c>
    </row>
    <row r="268" spans="8:15" ht="15" x14ac:dyDescent="0.25">
      <c r="H268" s="50" t="str">
        <f t="shared" si="27"/>
        <v xml:space="preserve"> </v>
      </c>
      <c r="I268" s="51" t="str">
        <f t="shared" si="21"/>
        <v/>
      </c>
      <c r="J268" s="106" t="str">
        <f t="shared" si="22"/>
        <v/>
      </c>
      <c r="K268" s="106" t="str">
        <f t="shared" si="24"/>
        <v xml:space="preserve"> </v>
      </c>
      <c r="L268" s="106" t="str">
        <f t="shared" si="23"/>
        <v/>
      </c>
      <c r="M268" s="51" t="str">
        <f t="shared" si="25"/>
        <v/>
      </c>
      <c r="N268" s="51"/>
      <c r="O268" s="51" t="str">
        <f t="shared" si="26"/>
        <v xml:space="preserve"> </v>
      </c>
    </row>
    <row r="269" spans="8:15" ht="15" x14ac:dyDescent="0.25">
      <c r="H269" s="50" t="str">
        <f t="shared" si="27"/>
        <v xml:space="preserve"> </v>
      </c>
      <c r="I269" s="51" t="str">
        <f t="shared" si="21"/>
        <v/>
      </c>
      <c r="J269" s="106" t="str">
        <f t="shared" si="22"/>
        <v/>
      </c>
      <c r="K269" s="106" t="str">
        <f t="shared" si="24"/>
        <v xml:space="preserve"> </v>
      </c>
      <c r="L269" s="106" t="str">
        <f t="shared" si="23"/>
        <v/>
      </c>
      <c r="M269" s="51" t="str">
        <f t="shared" si="25"/>
        <v/>
      </c>
      <c r="N269" s="51"/>
      <c r="O269" s="51" t="str">
        <f t="shared" si="26"/>
        <v xml:space="preserve"> </v>
      </c>
    </row>
    <row r="270" spans="8:15" ht="15" x14ac:dyDescent="0.25">
      <c r="H270" s="50" t="str">
        <f t="shared" si="27"/>
        <v xml:space="preserve"> </v>
      </c>
      <c r="I270" s="51" t="str">
        <f t="shared" si="21"/>
        <v/>
      </c>
      <c r="J270" s="106" t="str">
        <f t="shared" si="22"/>
        <v/>
      </c>
      <c r="K270" s="106" t="str">
        <f t="shared" si="24"/>
        <v xml:space="preserve"> </v>
      </c>
      <c r="L270" s="106" t="str">
        <f t="shared" si="23"/>
        <v/>
      </c>
      <c r="M270" s="51" t="str">
        <f t="shared" si="25"/>
        <v/>
      </c>
      <c r="N270" s="51"/>
      <c r="O270" s="51" t="str">
        <f t="shared" si="26"/>
        <v xml:space="preserve"> </v>
      </c>
    </row>
    <row r="271" spans="8:15" ht="15" x14ac:dyDescent="0.25">
      <c r="H271" s="50" t="str">
        <f t="shared" si="27"/>
        <v xml:space="preserve"> </v>
      </c>
      <c r="I271" s="51" t="str">
        <f t="shared" si="21"/>
        <v/>
      </c>
      <c r="J271" s="106" t="str">
        <f t="shared" si="22"/>
        <v/>
      </c>
      <c r="K271" s="106" t="str">
        <f t="shared" si="24"/>
        <v xml:space="preserve"> </v>
      </c>
      <c r="L271" s="106" t="str">
        <f t="shared" si="23"/>
        <v/>
      </c>
      <c r="M271" s="51" t="str">
        <f t="shared" si="25"/>
        <v/>
      </c>
      <c r="N271" s="51"/>
      <c r="O271" s="51" t="str">
        <f t="shared" si="26"/>
        <v xml:space="preserve"> </v>
      </c>
    </row>
    <row r="272" spans="8:15" ht="15" x14ac:dyDescent="0.25">
      <c r="H272" s="50" t="str">
        <f t="shared" si="27"/>
        <v xml:space="preserve"> </v>
      </c>
      <c r="I272" s="51" t="str">
        <f t="shared" ref="I272:I315" si="28">IF(H272&lt;=$D$32,(IF(H272&lt;=$D$20,IF(credito="Período de Gracia Total",0,$L$15*$D$27/$D$23),(IF(credito="Período de Gracia Parcial",$L$15/PV(($D$27/$D$23),$D$32-$D$20,-1),$L$15*(1+($D$27/$D$23))^$D$20/PV(($D$27/$D$23),$D$32-$D$20,-1))))),"")</f>
        <v/>
      </c>
      <c r="J272" s="106" t="str">
        <f t="shared" ref="J272:J315" si="29">IF(H272&lt;=$D$32,IF(H272&lt;=$D$20,IF(credito="Período de Gracia Total",0,L$15*$D$27/$D$23),L271*$D$27/$D$23),"")</f>
        <v/>
      </c>
      <c r="K272" s="106" t="str">
        <f t="shared" si="24"/>
        <v xml:space="preserve"> </v>
      </c>
      <c r="L272" s="106" t="str">
        <f t="shared" ref="L272:L315" si="30">IF(H272&lt;=$D$32,IF(H272&lt;=$D$20,IF(credito="Período de Gracia Total",$L$15*(1+($D$27/$D$23))^H272,L271-K272),L271-K272),"")</f>
        <v/>
      </c>
      <c r="M272" s="51" t="str">
        <f t="shared" si="25"/>
        <v/>
      </c>
      <c r="N272" s="51"/>
      <c r="O272" s="51" t="str">
        <f t="shared" si="26"/>
        <v xml:space="preserve"> </v>
      </c>
    </row>
    <row r="273" spans="8:15" ht="15" x14ac:dyDescent="0.25">
      <c r="H273" s="50" t="str">
        <f t="shared" si="27"/>
        <v xml:space="preserve"> </v>
      </c>
      <c r="I273" s="51" t="str">
        <f t="shared" si="28"/>
        <v/>
      </c>
      <c r="J273" s="106" t="str">
        <f t="shared" si="29"/>
        <v/>
      </c>
      <c r="K273" s="106" t="str">
        <f t="shared" ref="K273:K315" si="31">IF(H273&lt;=$T$15,I273-J273," ")</f>
        <v xml:space="preserve"> </v>
      </c>
      <c r="L273" s="106" t="str">
        <f t="shared" si="30"/>
        <v/>
      </c>
      <c r="M273" s="51" t="str">
        <f t="shared" ref="M273:M315" si="32">IF(H273&lt;=$D$32,M272+K273,"")</f>
        <v/>
      </c>
      <c r="N273" s="51"/>
      <c r="O273" s="51" t="str">
        <f t="shared" ref="O273:O315" si="33">IF(H273&lt;=$T$15,-I273," ")</f>
        <v xml:space="preserve"> </v>
      </c>
    </row>
    <row r="274" spans="8:15" ht="15" x14ac:dyDescent="0.25">
      <c r="H274" s="50" t="str">
        <f t="shared" ref="H274:H315" si="34">IF($H273&gt;=$T$15," ",H273+1)</f>
        <v xml:space="preserve"> </v>
      </c>
      <c r="I274" s="51" t="str">
        <f t="shared" si="28"/>
        <v/>
      </c>
      <c r="J274" s="106" t="str">
        <f t="shared" si="29"/>
        <v/>
      </c>
      <c r="K274" s="106" t="str">
        <f t="shared" si="31"/>
        <v xml:space="preserve"> </v>
      </c>
      <c r="L274" s="106" t="str">
        <f t="shared" si="30"/>
        <v/>
      </c>
      <c r="M274" s="51" t="str">
        <f t="shared" si="32"/>
        <v/>
      </c>
      <c r="N274" s="51"/>
      <c r="O274" s="51" t="str">
        <f t="shared" si="33"/>
        <v xml:space="preserve"> </v>
      </c>
    </row>
    <row r="275" spans="8:15" ht="15" x14ac:dyDescent="0.25">
      <c r="H275" s="50" t="str">
        <f t="shared" si="34"/>
        <v xml:space="preserve"> </v>
      </c>
      <c r="I275" s="51" t="str">
        <f t="shared" si="28"/>
        <v/>
      </c>
      <c r="J275" s="106" t="str">
        <f t="shared" si="29"/>
        <v/>
      </c>
      <c r="K275" s="106" t="str">
        <f t="shared" si="31"/>
        <v xml:space="preserve"> </v>
      </c>
      <c r="L275" s="106" t="str">
        <f t="shared" si="30"/>
        <v/>
      </c>
      <c r="M275" s="51" t="str">
        <f t="shared" si="32"/>
        <v/>
      </c>
      <c r="N275" s="51"/>
      <c r="O275" s="51" t="str">
        <f t="shared" si="33"/>
        <v xml:space="preserve"> </v>
      </c>
    </row>
    <row r="276" spans="8:15" ht="15" x14ac:dyDescent="0.25">
      <c r="H276" s="50" t="str">
        <f t="shared" si="34"/>
        <v xml:space="preserve"> </v>
      </c>
      <c r="I276" s="51" t="str">
        <f t="shared" si="28"/>
        <v/>
      </c>
      <c r="J276" s="106" t="str">
        <f t="shared" si="29"/>
        <v/>
      </c>
      <c r="K276" s="106" t="str">
        <f t="shared" si="31"/>
        <v xml:space="preserve"> </v>
      </c>
      <c r="L276" s="106" t="str">
        <f t="shared" si="30"/>
        <v/>
      </c>
      <c r="M276" s="51" t="str">
        <f t="shared" si="32"/>
        <v/>
      </c>
      <c r="N276" s="51"/>
      <c r="O276" s="51" t="str">
        <f t="shared" si="33"/>
        <v xml:space="preserve"> </v>
      </c>
    </row>
    <row r="277" spans="8:15" ht="15" x14ac:dyDescent="0.25">
      <c r="H277" s="50" t="str">
        <f t="shared" si="34"/>
        <v xml:space="preserve"> </v>
      </c>
      <c r="I277" s="51" t="str">
        <f t="shared" si="28"/>
        <v/>
      </c>
      <c r="J277" s="106" t="str">
        <f t="shared" si="29"/>
        <v/>
      </c>
      <c r="K277" s="106" t="str">
        <f t="shared" si="31"/>
        <v xml:space="preserve"> </v>
      </c>
      <c r="L277" s="106" t="str">
        <f t="shared" si="30"/>
        <v/>
      </c>
      <c r="M277" s="51" t="str">
        <f t="shared" si="32"/>
        <v/>
      </c>
      <c r="N277" s="51"/>
      <c r="O277" s="51" t="str">
        <f t="shared" si="33"/>
        <v xml:space="preserve"> </v>
      </c>
    </row>
    <row r="278" spans="8:15" ht="15" x14ac:dyDescent="0.25">
      <c r="H278" s="50" t="str">
        <f t="shared" si="34"/>
        <v xml:space="preserve"> </v>
      </c>
      <c r="I278" s="51" t="str">
        <f t="shared" si="28"/>
        <v/>
      </c>
      <c r="J278" s="106" t="str">
        <f t="shared" si="29"/>
        <v/>
      </c>
      <c r="K278" s="106" t="str">
        <f t="shared" si="31"/>
        <v xml:space="preserve"> </v>
      </c>
      <c r="L278" s="106" t="str">
        <f t="shared" si="30"/>
        <v/>
      </c>
      <c r="M278" s="51" t="str">
        <f t="shared" si="32"/>
        <v/>
      </c>
      <c r="N278" s="51"/>
      <c r="O278" s="51" t="str">
        <f t="shared" si="33"/>
        <v xml:space="preserve"> </v>
      </c>
    </row>
    <row r="279" spans="8:15" ht="15" x14ac:dyDescent="0.25">
      <c r="H279" s="50" t="str">
        <f t="shared" si="34"/>
        <v xml:space="preserve"> </v>
      </c>
      <c r="I279" s="51" t="str">
        <f t="shared" si="28"/>
        <v/>
      </c>
      <c r="J279" s="106" t="str">
        <f t="shared" si="29"/>
        <v/>
      </c>
      <c r="K279" s="106" t="str">
        <f t="shared" si="31"/>
        <v xml:space="preserve"> </v>
      </c>
      <c r="L279" s="106" t="str">
        <f t="shared" si="30"/>
        <v/>
      </c>
      <c r="M279" s="51" t="str">
        <f t="shared" si="32"/>
        <v/>
      </c>
      <c r="N279" s="51"/>
      <c r="O279" s="51" t="str">
        <f t="shared" si="33"/>
        <v xml:space="preserve"> </v>
      </c>
    </row>
    <row r="280" spans="8:15" ht="15" x14ac:dyDescent="0.25">
      <c r="H280" s="50" t="str">
        <f t="shared" si="34"/>
        <v xml:space="preserve"> </v>
      </c>
      <c r="I280" s="51" t="str">
        <f t="shared" si="28"/>
        <v/>
      </c>
      <c r="J280" s="106" t="str">
        <f t="shared" si="29"/>
        <v/>
      </c>
      <c r="K280" s="106" t="str">
        <f t="shared" si="31"/>
        <v xml:space="preserve"> </v>
      </c>
      <c r="L280" s="106" t="str">
        <f t="shared" si="30"/>
        <v/>
      </c>
      <c r="M280" s="51" t="str">
        <f t="shared" si="32"/>
        <v/>
      </c>
      <c r="N280" s="51"/>
      <c r="O280" s="51" t="str">
        <f t="shared" si="33"/>
        <v xml:space="preserve"> </v>
      </c>
    </row>
    <row r="281" spans="8:15" ht="15" x14ac:dyDescent="0.25">
      <c r="H281" s="50" t="str">
        <f t="shared" si="34"/>
        <v xml:space="preserve"> </v>
      </c>
      <c r="I281" s="51" t="str">
        <f t="shared" si="28"/>
        <v/>
      </c>
      <c r="J281" s="106" t="str">
        <f t="shared" si="29"/>
        <v/>
      </c>
      <c r="K281" s="106" t="str">
        <f t="shared" si="31"/>
        <v xml:space="preserve"> </v>
      </c>
      <c r="L281" s="106" t="str">
        <f t="shared" si="30"/>
        <v/>
      </c>
      <c r="M281" s="51" t="str">
        <f t="shared" si="32"/>
        <v/>
      </c>
      <c r="N281" s="51"/>
      <c r="O281" s="51" t="str">
        <f t="shared" si="33"/>
        <v xml:space="preserve"> </v>
      </c>
    </row>
    <row r="282" spans="8:15" ht="15" x14ac:dyDescent="0.25">
      <c r="H282" s="50" t="str">
        <f t="shared" si="34"/>
        <v xml:space="preserve"> </v>
      </c>
      <c r="I282" s="51" t="str">
        <f t="shared" si="28"/>
        <v/>
      </c>
      <c r="J282" s="106" t="str">
        <f t="shared" si="29"/>
        <v/>
      </c>
      <c r="K282" s="106" t="str">
        <f t="shared" si="31"/>
        <v xml:space="preserve"> </v>
      </c>
      <c r="L282" s="106" t="str">
        <f t="shared" si="30"/>
        <v/>
      </c>
      <c r="M282" s="51" t="str">
        <f t="shared" si="32"/>
        <v/>
      </c>
      <c r="N282" s="51"/>
      <c r="O282" s="51" t="str">
        <f t="shared" si="33"/>
        <v xml:space="preserve"> </v>
      </c>
    </row>
    <row r="283" spans="8:15" ht="15" x14ac:dyDescent="0.25">
      <c r="H283" s="50" t="str">
        <f t="shared" si="34"/>
        <v xml:space="preserve"> </v>
      </c>
      <c r="I283" s="51" t="str">
        <f t="shared" si="28"/>
        <v/>
      </c>
      <c r="J283" s="106" t="str">
        <f t="shared" si="29"/>
        <v/>
      </c>
      <c r="K283" s="106" t="str">
        <f t="shared" si="31"/>
        <v xml:space="preserve"> </v>
      </c>
      <c r="L283" s="106" t="str">
        <f t="shared" si="30"/>
        <v/>
      </c>
      <c r="M283" s="51" t="str">
        <f t="shared" si="32"/>
        <v/>
      </c>
      <c r="N283" s="51"/>
      <c r="O283" s="51" t="str">
        <f t="shared" si="33"/>
        <v xml:space="preserve"> </v>
      </c>
    </row>
    <row r="284" spans="8:15" ht="15" x14ac:dyDescent="0.25">
      <c r="H284" s="50" t="str">
        <f t="shared" si="34"/>
        <v xml:space="preserve"> </v>
      </c>
      <c r="I284" s="51" t="str">
        <f t="shared" si="28"/>
        <v/>
      </c>
      <c r="J284" s="106" t="str">
        <f t="shared" si="29"/>
        <v/>
      </c>
      <c r="K284" s="106" t="str">
        <f t="shared" si="31"/>
        <v xml:space="preserve"> </v>
      </c>
      <c r="L284" s="106" t="str">
        <f t="shared" si="30"/>
        <v/>
      </c>
      <c r="M284" s="51" t="str">
        <f t="shared" si="32"/>
        <v/>
      </c>
      <c r="N284" s="51"/>
      <c r="O284" s="51" t="str">
        <f t="shared" si="33"/>
        <v xml:space="preserve"> </v>
      </c>
    </row>
    <row r="285" spans="8:15" ht="15" x14ac:dyDescent="0.25">
      <c r="H285" s="50" t="str">
        <f t="shared" si="34"/>
        <v xml:space="preserve"> </v>
      </c>
      <c r="I285" s="51" t="str">
        <f t="shared" si="28"/>
        <v/>
      </c>
      <c r="J285" s="106" t="str">
        <f t="shared" si="29"/>
        <v/>
      </c>
      <c r="K285" s="106" t="str">
        <f t="shared" si="31"/>
        <v xml:space="preserve"> </v>
      </c>
      <c r="L285" s="106" t="str">
        <f t="shared" si="30"/>
        <v/>
      </c>
      <c r="M285" s="51" t="str">
        <f t="shared" si="32"/>
        <v/>
      </c>
      <c r="N285" s="51"/>
      <c r="O285" s="51" t="str">
        <f t="shared" si="33"/>
        <v xml:space="preserve"> </v>
      </c>
    </row>
    <row r="286" spans="8:15" ht="15" x14ac:dyDescent="0.25">
      <c r="H286" s="50" t="str">
        <f t="shared" si="34"/>
        <v xml:space="preserve"> </v>
      </c>
      <c r="I286" s="51" t="str">
        <f t="shared" si="28"/>
        <v/>
      </c>
      <c r="J286" s="106" t="str">
        <f t="shared" si="29"/>
        <v/>
      </c>
      <c r="K286" s="106" t="str">
        <f t="shared" si="31"/>
        <v xml:space="preserve"> </v>
      </c>
      <c r="L286" s="106" t="str">
        <f t="shared" si="30"/>
        <v/>
      </c>
      <c r="M286" s="51" t="str">
        <f t="shared" si="32"/>
        <v/>
      </c>
      <c r="N286" s="51"/>
      <c r="O286" s="51" t="str">
        <f t="shared" si="33"/>
        <v xml:space="preserve"> </v>
      </c>
    </row>
    <row r="287" spans="8:15" ht="15" x14ac:dyDescent="0.25">
      <c r="H287" s="50" t="str">
        <f t="shared" si="34"/>
        <v xml:space="preserve"> </v>
      </c>
      <c r="I287" s="51" t="str">
        <f t="shared" si="28"/>
        <v/>
      </c>
      <c r="J287" s="106" t="str">
        <f t="shared" si="29"/>
        <v/>
      </c>
      <c r="K287" s="106" t="str">
        <f t="shared" si="31"/>
        <v xml:space="preserve"> </v>
      </c>
      <c r="L287" s="106" t="str">
        <f t="shared" si="30"/>
        <v/>
      </c>
      <c r="M287" s="51" t="str">
        <f t="shared" si="32"/>
        <v/>
      </c>
      <c r="N287" s="51"/>
      <c r="O287" s="51" t="str">
        <f t="shared" si="33"/>
        <v xml:space="preserve"> </v>
      </c>
    </row>
    <row r="288" spans="8:15" ht="15" x14ac:dyDescent="0.25">
      <c r="H288" s="50" t="str">
        <f t="shared" si="34"/>
        <v xml:space="preserve"> </v>
      </c>
      <c r="I288" s="51" t="str">
        <f t="shared" si="28"/>
        <v/>
      </c>
      <c r="J288" s="106" t="str">
        <f t="shared" si="29"/>
        <v/>
      </c>
      <c r="K288" s="106" t="str">
        <f t="shared" si="31"/>
        <v xml:space="preserve"> </v>
      </c>
      <c r="L288" s="106" t="str">
        <f t="shared" si="30"/>
        <v/>
      </c>
      <c r="M288" s="51" t="str">
        <f t="shared" si="32"/>
        <v/>
      </c>
      <c r="N288" s="51"/>
      <c r="O288" s="51" t="str">
        <f t="shared" si="33"/>
        <v xml:space="preserve"> </v>
      </c>
    </row>
    <row r="289" spans="8:15" ht="15" x14ac:dyDescent="0.25">
      <c r="H289" s="50" t="str">
        <f t="shared" si="34"/>
        <v xml:space="preserve"> </v>
      </c>
      <c r="I289" s="51" t="str">
        <f t="shared" si="28"/>
        <v/>
      </c>
      <c r="J289" s="106" t="str">
        <f t="shared" si="29"/>
        <v/>
      </c>
      <c r="K289" s="106" t="str">
        <f t="shared" si="31"/>
        <v xml:space="preserve"> </v>
      </c>
      <c r="L289" s="106" t="str">
        <f t="shared" si="30"/>
        <v/>
      </c>
      <c r="M289" s="51" t="str">
        <f t="shared" si="32"/>
        <v/>
      </c>
      <c r="N289" s="51"/>
      <c r="O289" s="51" t="str">
        <f t="shared" si="33"/>
        <v xml:space="preserve"> </v>
      </c>
    </row>
    <row r="290" spans="8:15" ht="15" x14ac:dyDescent="0.25">
      <c r="H290" s="50" t="str">
        <f t="shared" si="34"/>
        <v xml:space="preserve"> </v>
      </c>
      <c r="I290" s="51" t="str">
        <f t="shared" si="28"/>
        <v/>
      </c>
      <c r="J290" s="106" t="str">
        <f t="shared" si="29"/>
        <v/>
      </c>
      <c r="K290" s="106" t="str">
        <f t="shared" si="31"/>
        <v xml:space="preserve"> </v>
      </c>
      <c r="L290" s="106" t="str">
        <f t="shared" si="30"/>
        <v/>
      </c>
      <c r="M290" s="51" t="str">
        <f t="shared" si="32"/>
        <v/>
      </c>
      <c r="N290" s="51"/>
      <c r="O290" s="51" t="str">
        <f t="shared" si="33"/>
        <v xml:space="preserve"> </v>
      </c>
    </row>
    <row r="291" spans="8:15" ht="15" x14ac:dyDescent="0.25">
      <c r="H291" s="50" t="str">
        <f t="shared" si="34"/>
        <v xml:space="preserve"> </v>
      </c>
      <c r="I291" s="51" t="str">
        <f t="shared" si="28"/>
        <v/>
      </c>
      <c r="J291" s="106" t="str">
        <f t="shared" si="29"/>
        <v/>
      </c>
      <c r="K291" s="106" t="str">
        <f t="shared" si="31"/>
        <v xml:space="preserve"> </v>
      </c>
      <c r="L291" s="106" t="str">
        <f t="shared" si="30"/>
        <v/>
      </c>
      <c r="M291" s="51" t="str">
        <f t="shared" si="32"/>
        <v/>
      </c>
      <c r="N291" s="51"/>
      <c r="O291" s="51" t="str">
        <f t="shared" si="33"/>
        <v xml:space="preserve"> </v>
      </c>
    </row>
    <row r="292" spans="8:15" ht="15" x14ac:dyDescent="0.25">
      <c r="H292" s="50" t="str">
        <f t="shared" si="34"/>
        <v xml:space="preserve"> </v>
      </c>
      <c r="I292" s="51" t="str">
        <f t="shared" si="28"/>
        <v/>
      </c>
      <c r="J292" s="106" t="str">
        <f t="shared" si="29"/>
        <v/>
      </c>
      <c r="K292" s="106" t="str">
        <f t="shared" si="31"/>
        <v xml:space="preserve"> </v>
      </c>
      <c r="L292" s="106" t="str">
        <f t="shared" si="30"/>
        <v/>
      </c>
      <c r="M292" s="51" t="str">
        <f t="shared" si="32"/>
        <v/>
      </c>
      <c r="N292" s="51"/>
      <c r="O292" s="51" t="str">
        <f t="shared" si="33"/>
        <v xml:space="preserve"> </v>
      </c>
    </row>
    <row r="293" spans="8:15" ht="15" x14ac:dyDescent="0.25">
      <c r="H293" s="50" t="str">
        <f t="shared" si="34"/>
        <v xml:space="preserve"> </v>
      </c>
      <c r="I293" s="51" t="str">
        <f t="shared" si="28"/>
        <v/>
      </c>
      <c r="J293" s="106" t="str">
        <f t="shared" si="29"/>
        <v/>
      </c>
      <c r="K293" s="106" t="str">
        <f t="shared" si="31"/>
        <v xml:space="preserve"> </v>
      </c>
      <c r="L293" s="106" t="str">
        <f t="shared" si="30"/>
        <v/>
      </c>
      <c r="M293" s="51" t="str">
        <f t="shared" si="32"/>
        <v/>
      </c>
      <c r="N293" s="51"/>
      <c r="O293" s="51" t="str">
        <f t="shared" si="33"/>
        <v xml:space="preserve"> </v>
      </c>
    </row>
    <row r="294" spans="8:15" ht="15" x14ac:dyDescent="0.25">
      <c r="H294" s="50" t="str">
        <f t="shared" si="34"/>
        <v xml:space="preserve"> </v>
      </c>
      <c r="I294" s="51" t="str">
        <f t="shared" si="28"/>
        <v/>
      </c>
      <c r="J294" s="106" t="str">
        <f t="shared" si="29"/>
        <v/>
      </c>
      <c r="K294" s="106" t="str">
        <f t="shared" si="31"/>
        <v xml:space="preserve"> </v>
      </c>
      <c r="L294" s="106" t="str">
        <f t="shared" si="30"/>
        <v/>
      </c>
      <c r="M294" s="51" t="str">
        <f t="shared" si="32"/>
        <v/>
      </c>
      <c r="N294" s="51"/>
      <c r="O294" s="51" t="str">
        <f t="shared" si="33"/>
        <v xml:space="preserve"> </v>
      </c>
    </row>
    <row r="295" spans="8:15" ht="15" x14ac:dyDescent="0.25">
      <c r="H295" s="50" t="str">
        <f t="shared" si="34"/>
        <v xml:space="preserve"> </v>
      </c>
      <c r="I295" s="51" t="str">
        <f t="shared" si="28"/>
        <v/>
      </c>
      <c r="J295" s="106" t="str">
        <f t="shared" si="29"/>
        <v/>
      </c>
      <c r="K295" s="106" t="str">
        <f t="shared" si="31"/>
        <v xml:space="preserve"> </v>
      </c>
      <c r="L295" s="106" t="str">
        <f t="shared" si="30"/>
        <v/>
      </c>
      <c r="M295" s="51" t="str">
        <f t="shared" si="32"/>
        <v/>
      </c>
      <c r="N295" s="51"/>
      <c r="O295" s="51" t="str">
        <f t="shared" si="33"/>
        <v xml:space="preserve"> </v>
      </c>
    </row>
    <row r="296" spans="8:15" ht="15" x14ac:dyDescent="0.25">
      <c r="H296" s="50" t="str">
        <f t="shared" si="34"/>
        <v xml:space="preserve"> </v>
      </c>
      <c r="I296" s="51" t="str">
        <f t="shared" si="28"/>
        <v/>
      </c>
      <c r="J296" s="106" t="str">
        <f t="shared" si="29"/>
        <v/>
      </c>
      <c r="K296" s="106" t="str">
        <f t="shared" si="31"/>
        <v xml:space="preserve"> </v>
      </c>
      <c r="L296" s="106" t="str">
        <f t="shared" si="30"/>
        <v/>
      </c>
      <c r="M296" s="51" t="str">
        <f t="shared" si="32"/>
        <v/>
      </c>
      <c r="N296" s="51"/>
      <c r="O296" s="51" t="str">
        <f t="shared" si="33"/>
        <v xml:space="preserve"> </v>
      </c>
    </row>
    <row r="297" spans="8:15" ht="15" x14ac:dyDescent="0.25">
      <c r="H297" s="50" t="str">
        <f t="shared" si="34"/>
        <v xml:space="preserve"> </v>
      </c>
      <c r="I297" s="51" t="str">
        <f t="shared" si="28"/>
        <v/>
      </c>
      <c r="J297" s="106" t="str">
        <f t="shared" si="29"/>
        <v/>
      </c>
      <c r="K297" s="106" t="str">
        <f t="shared" si="31"/>
        <v xml:space="preserve"> </v>
      </c>
      <c r="L297" s="106" t="str">
        <f t="shared" si="30"/>
        <v/>
      </c>
      <c r="M297" s="51" t="str">
        <f t="shared" si="32"/>
        <v/>
      </c>
      <c r="N297" s="51"/>
      <c r="O297" s="51" t="str">
        <f t="shared" si="33"/>
        <v xml:space="preserve"> </v>
      </c>
    </row>
    <row r="298" spans="8:15" ht="15" x14ac:dyDescent="0.25">
      <c r="H298" s="50" t="str">
        <f t="shared" si="34"/>
        <v xml:space="preserve"> </v>
      </c>
      <c r="I298" s="51" t="str">
        <f t="shared" si="28"/>
        <v/>
      </c>
      <c r="J298" s="106" t="str">
        <f t="shared" si="29"/>
        <v/>
      </c>
      <c r="K298" s="106" t="str">
        <f t="shared" si="31"/>
        <v xml:space="preserve"> </v>
      </c>
      <c r="L298" s="106" t="str">
        <f t="shared" si="30"/>
        <v/>
      </c>
      <c r="M298" s="51" t="str">
        <f t="shared" si="32"/>
        <v/>
      </c>
      <c r="N298" s="51"/>
      <c r="O298" s="51" t="str">
        <f t="shared" si="33"/>
        <v xml:space="preserve"> </v>
      </c>
    </row>
    <row r="299" spans="8:15" ht="15" x14ac:dyDescent="0.25">
      <c r="H299" s="50" t="str">
        <f t="shared" si="34"/>
        <v xml:space="preserve"> </v>
      </c>
      <c r="I299" s="51" t="str">
        <f t="shared" si="28"/>
        <v/>
      </c>
      <c r="J299" s="106" t="str">
        <f t="shared" si="29"/>
        <v/>
      </c>
      <c r="K299" s="106" t="str">
        <f t="shared" si="31"/>
        <v xml:space="preserve"> </v>
      </c>
      <c r="L299" s="106" t="str">
        <f t="shared" si="30"/>
        <v/>
      </c>
      <c r="M299" s="51" t="str">
        <f t="shared" si="32"/>
        <v/>
      </c>
      <c r="N299" s="51"/>
      <c r="O299" s="51" t="str">
        <f t="shared" si="33"/>
        <v xml:space="preserve"> </v>
      </c>
    </row>
    <row r="300" spans="8:15" ht="15" x14ac:dyDescent="0.25">
      <c r="H300" s="50" t="str">
        <f t="shared" si="34"/>
        <v xml:space="preserve"> </v>
      </c>
      <c r="I300" s="51" t="str">
        <f t="shared" si="28"/>
        <v/>
      </c>
      <c r="J300" s="106" t="str">
        <f t="shared" si="29"/>
        <v/>
      </c>
      <c r="K300" s="106" t="str">
        <f t="shared" si="31"/>
        <v xml:space="preserve"> </v>
      </c>
      <c r="L300" s="106" t="str">
        <f t="shared" si="30"/>
        <v/>
      </c>
      <c r="M300" s="51" t="str">
        <f t="shared" si="32"/>
        <v/>
      </c>
      <c r="N300" s="51"/>
      <c r="O300" s="51" t="str">
        <f t="shared" si="33"/>
        <v xml:space="preserve"> </v>
      </c>
    </row>
    <row r="301" spans="8:15" ht="15" x14ac:dyDescent="0.25">
      <c r="H301" s="50" t="str">
        <f t="shared" si="34"/>
        <v xml:space="preserve"> </v>
      </c>
      <c r="I301" s="51" t="str">
        <f t="shared" si="28"/>
        <v/>
      </c>
      <c r="J301" s="106" t="str">
        <f t="shared" si="29"/>
        <v/>
      </c>
      <c r="K301" s="106" t="str">
        <f t="shared" si="31"/>
        <v xml:space="preserve"> </v>
      </c>
      <c r="L301" s="106" t="str">
        <f t="shared" si="30"/>
        <v/>
      </c>
      <c r="M301" s="51" t="str">
        <f t="shared" si="32"/>
        <v/>
      </c>
      <c r="N301" s="51"/>
      <c r="O301" s="51" t="str">
        <f t="shared" si="33"/>
        <v xml:space="preserve"> </v>
      </c>
    </row>
    <row r="302" spans="8:15" ht="15" x14ac:dyDescent="0.25">
      <c r="H302" s="50" t="str">
        <f t="shared" si="34"/>
        <v xml:space="preserve"> </v>
      </c>
      <c r="I302" s="51" t="str">
        <f t="shared" si="28"/>
        <v/>
      </c>
      <c r="J302" s="106" t="str">
        <f t="shared" si="29"/>
        <v/>
      </c>
      <c r="K302" s="106" t="str">
        <f t="shared" si="31"/>
        <v xml:space="preserve"> </v>
      </c>
      <c r="L302" s="106" t="str">
        <f t="shared" si="30"/>
        <v/>
      </c>
      <c r="M302" s="51" t="str">
        <f t="shared" si="32"/>
        <v/>
      </c>
      <c r="N302" s="51"/>
      <c r="O302" s="51" t="str">
        <f t="shared" si="33"/>
        <v xml:space="preserve"> </v>
      </c>
    </row>
    <row r="303" spans="8:15" ht="15" x14ac:dyDescent="0.25">
      <c r="H303" s="50" t="str">
        <f t="shared" si="34"/>
        <v xml:space="preserve"> </v>
      </c>
      <c r="I303" s="51" t="str">
        <f t="shared" si="28"/>
        <v/>
      </c>
      <c r="J303" s="106" t="str">
        <f t="shared" si="29"/>
        <v/>
      </c>
      <c r="K303" s="106" t="str">
        <f t="shared" si="31"/>
        <v xml:space="preserve"> </v>
      </c>
      <c r="L303" s="106" t="str">
        <f t="shared" si="30"/>
        <v/>
      </c>
      <c r="M303" s="51" t="str">
        <f t="shared" si="32"/>
        <v/>
      </c>
      <c r="N303" s="51"/>
      <c r="O303" s="51" t="str">
        <f t="shared" si="33"/>
        <v xml:space="preserve"> </v>
      </c>
    </row>
    <row r="304" spans="8:15" ht="15" x14ac:dyDescent="0.25">
      <c r="H304" s="50" t="str">
        <f t="shared" si="34"/>
        <v xml:space="preserve"> </v>
      </c>
      <c r="I304" s="51" t="str">
        <f t="shared" si="28"/>
        <v/>
      </c>
      <c r="J304" s="106" t="str">
        <f t="shared" si="29"/>
        <v/>
      </c>
      <c r="K304" s="106" t="str">
        <f t="shared" si="31"/>
        <v xml:space="preserve"> </v>
      </c>
      <c r="L304" s="106" t="str">
        <f t="shared" si="30"/>
        <v/>
      </c>
      <c r="M304" s="51" t="str">
        <f t="shared" si="32"/>
        <v/>
      </c>
      <c r="N304" s="51"/>
      <c r="O304" s="51" t="str">
        <f t="shared" si="33"/>
        <v xml:space="preserve"> </v>
      </c>
    </row>
    <row r="305" spans="8:15" ht="15" x14ac:dyDescent="0.25">
      <c r="H305" s="50" t="str">
        <f t="shared" si="34"/>
        <v xml:space="preserve"> </v>
      </c>
      <c r="I305" s="51" t="str">
        <f t="shared" si="28"/>
        <v/>
      </c>
      <c r="J305" s="106" t="str">
        <f t="shared" si="29"/>
        <v/>
      </c>
      <c r="K305" s="106" t="str">
        <f t="shared" si="31"/>
        <v xml:space="preserve"> </v>
      </c>
      <c r="L305" s="106" t="str">
        <f t="shared" si="30"/>
        <v/>
      </c>
      <c r="M305" s="51" t="str">
        <f t="shared" si="32"/>
        <v/>
      </c>
      <c r="N305" s="51"/>
      <c r="O305" s="51" t="str">
        <f t="shared" si="33"/>
        <v xml:space="preserve"> </v>
      </c>
    </row>
    <row r="306" spans="8:15" ht="15" x14ac:dyDescent="0.25">
      <c r="H306" s="50" t="str">
        <f t="shared" si="34"/>
        <v xml:space="preserve"> </v>
      </c>
      <c r="I306" s="51" t="str">
        <f t="shared" si="28"/>
        <v/>
      </c>
      <c r="J306" s="106" t="str">
        <f t="shared" si="29"/>
        <v/>
      </c>
      <c r="K306" s="106" t="str">
        <f t="shared" si="31"/>
        <v xml:space="preserve"> </v>
      </c>
      <c r="L306" s="106" t="str">
        <f t="shared" si="30"/>
        <v/>
      </c>
      <c r="M306" s="51" t="str">
        <f t="shared" si="32"/>
        <v/>
      </c>
      <c r="N306" s="51"/>
      <c r="O306" s="51" t="str">
        <f t="shared" si="33"/>
        <v xml:space="preserve"> </v>
      </c>
    </row>
    <row r="307" spans="8:15" ht="15" x14ac:dyDescent="0.25">
      <c r="H307" s="50" t="str">
        <f t="shared" si="34"/>
        <v xml:space="preserve"> </v>
      </c>
      <c r="I307" s="51" t="str">
        <f t="shared" si="28"/>
        <v/>
      </c>
      <c r="J307" s="106" t="str">
        <f t="shared" si="29"/>
        <v/>
      </c>
      <c r="K307" s="106" t="str">
        <f t="shared" si="31"/>
        <v xml:space="preserve"> </v>
      </c>
      <c r="L307" s="106" t="str">
        <f t="shared" si="30"/>
        <v/>
      </c>
      <c r="M307" s="51" t="str">
        <f t="shared" si="32"/>
        <v/>
      </c>
      <c r="N307" s="51"/>
      <c r="O307" s="51" t="str">
        <f t="shared" si="33"/>
        <v xml:space="preserve"> </v>
      </c>
    </row>
    <row r="308" spans="8:15" ht="15" x14ac:dyDescent="0.25">
      <c r="H308" s="50" t="str">
        <f t="shared" si="34"/>
        <v xml:space="preserve"> </v>
      </c>
      <c r="I308" s="51" t="str">
        <f t="shared" si="28"/>
        <v/>
      </c>
      <c r="J308" s="106" t="str">
        <f t="shared" si="29"/>
        <v/>
      </c>
      <c r="K308" s="106" t="str">
        <f t="shared" si="31"/>
        <v xml:space="preserve"> </v>
      </c>
      <c r="L308" s="106" t="str">
        <f t="shared" si="30"/>
        <v/>
      </c>
      <c r="M308" s="51" t="str">
        <f t="shared" si="32"/>
        <v/>
      </c>
      <c r="N308" s="51"/>
      <c r="O308" s="51" t="str">
        <f t="shared" si="33"/>
        <v xml:space="preserve"> </v>
      </c>
    </row>
    <row r="309" spans="8:15" ht="15" x14ac:dyDescent="0.25">
      <c r="H309" s="50" t="str">
        <f t="shared" si="34"/>
        <v xml:space="preserve"> </v>
      </c>
      <c r="I309" s="51" t="str">
        <f t="shared" si="28"/>
        <v/>
      </c>
      <c r="J309" s="106" t="str">
        <f t="shared" si="29"/>
        <v/>
      </c>
      <c r="K309" s="106" t="str">
        <f t="shared" si="31"/>
        <v xml:space="preserve"> </v>
      </c>
      <c r="L309" s="106" t="str">
        <f t="shared" si="30"/>
        <v/>
      </c>
      <c r="M309" s="51" t="str">
        <f t="shared" si="32"/>
        <v/>
      </c>
      <c r="N309" s="51"/>
      <c r="O309" s="51" t="str">
        <f t="shared" si="33"/>
        <v xml:space="preserve"> </v>
      </c>
    </row>
    <row r="310" spans="8:15" ht="15" x14ac:dyDescent="0.25">
      <c r="H310" s="50" t="str">
        <f t="shared" si="34"/>
        <v xml:space="preserve"> </v>
      </c>
      <c r="I310" s="51" t="str">
        <f t="shared" si="28"/>
        <v/>
      </c>
      <c r="J310" s="106" t="str">
        <f t="shared" si="29"/>
        <v/>
      </c>
      <c r="K310" s="106" t="str">
        <f t="shared" si="31"/>
        <v xml:space="preserve"> </v>
      </c>
      <c r="L310" s="106" t="str">
        <f t="shared" si="30"/>
        <v/>
      </c>
      <c r="M310" s="51" t="str">
        <f t="shared" si="32"/>
        <v/>
      </c>
      <c r="N310" s="51"/>
      <c r="O310" s="51" t="str">
        <f t="shared" si="33"/>
        <v xml:space="preserve"> </v>
      </c>
    </row>
    <row r="311" spans="8:15" ht="15" x14ac:dyDescent="0.25">
      <c r="H311" s="50" t="str">
        <f t="shared" si="34"/>
        <v xml:space="preserve"> </v>
      </c>
      <c r="I311" s="51" t="str">
        <f t="shared" si="28"/>
        <v/>
      </c>
      <c r="J311" s="106" t="str">
        <f t="shared" si="29"/>
        <v/>
      </c>
      <c r="K311" s="106" t="str">
        <f t="shared" si="31"/>
        <v xml:space="preserve"> </v>
      </c>
      <c r="L311" s="106" t="str">
        <f t="shared" si="30"/>
        <v/>
      </c>
      <c r="M311" s="51" t="str">
        <f t="shared" si="32"/>
        <v/>
      </c>
      <c r="N311" s="51"/>
      <c r="O311" s="51" t="str">
        <f t="shared" si="33"/>
        <v xml:space="preserve"> </v>
      </c>
    </row>
    <row r="312" spans="8:15" ht="15" x14ac:dyDescent="0.25">
      <c r="H312" s="50" t="str">
        <f t="shared" si="34"/>
        <v xml:space="preserve"> </v>
      </c>
      <c r="I312" s="51" t="str">
        <f t="shared" si="28"/>
        <v/>
      </c>
      <c r="J312" s="106" t="str">
        <f t="shared" si="29"/>
        <v/>
      </c>
      <c r="K312" s="106" t="str">
        <f t="shared" si="31"/>
        <v xml:space="preserve"> </v>
      </c>
      <c r="L312" s="106" t="str">
        <f t="shared" si="30"/>
        <v/>
      </c>
      <c r="M312" s="51" t="str">
        <f t="shared" si="32"/>
        <v/>
      </c>
      <c r="N312" s="51"/>
      <c r="O312" s="51" t="str">
        <f t="shared" si="33"/>
        <v xml:space="preserve"> </v>
      </c>
    </row>
    <row r="313" spans="8:15" ht="15" x14ac:dyDescent="0.25">
      <c r="H313" s="50" t="str">
        <f t="shared" si="34"/>
        <v xml:space="preserve"> </v>
      </c>
      <c r="I313" s="51" t="str">
        <f t="shared" si="28"/>
        <v/>
      </c>
      <c r="J313" s="106" t="str">
        <f t="shared" si="29"/>
        <v/>
      </c>
      <c r="K313" s="106" t="str">
        <f t="shared" si="31"/>
        <v xml:space="preserve"> </v>
      </c>
      <c r="L313" s="106" t="str">
        <f t="shared" si="30"/>
        <v/>
      </c>
      <c r="M313" s="51" t="str">
        <f t="shared" si="32"/>
        <v/>
      </c>
      <c r="N313" s="51"/>
      <c r="O313" s="51" t="str">
        <f t="shared" si="33"/>
        <v xml:space="preserve"> </v>
      </c>
    </row>
    <row r="314" spans="8:15" ht="15" x14ac:dyDescent="0.25">
      <c r="H314" s="50" t="str">
        <f t="shared" si="34"/>
        <v xml:space="preserve"> </v>
      </c>
      <c r="I314" s="51" t="str">
        <f t="shared" si="28"/>
        <v/>
      </c>
      <c r="J314" s="106" t="str">
        <f t="shared" si="29"/>
        <v/>
      </c>
      <c r="K314" s="106" t="str">
        <f t="shared" si="31"/>
        <v xml:space="preserve"> </v>
      </c>
      <c r="L314" s="106" t="str">
        <f t="shared" si="30"/>
        <v/>
      </c>
      <c r="M314" s="51" t="str">
        <f t="shared" si="32"/>
        <v/>
      </c>
      <c r="N314" s="51"/>
      <c r="O314" s="51" t="str">
        <f t="shared" si="33"/>
        <v xml:space="preserve"> </v>
      </c>
    </row>
    <row r="315" spans="8:15" ht="15" x14ac:dyDescent="0.25">
      <c r="H315" s="50" t="str">
        <f t="shared" si="34"/>
        <v xml:space="preserve"> </v>
      </c>
      <c r="I315" s="51" t="str">
        <f t="shared" si="28"/>
        <v/>
      </c>
      <c r="J315" s="106" t="str">
        <f t="shared" si="29"/>
        <v/>
      </c>
      <c r="K315" s="106" t="str">
        <f t="shared" si="31"/>
        <v xml:space="preserve"> </v>
      </c>
      <c r="L315" s="106" t="str">
        <f t="shared" si="30"/>
        <v/>
      </c>
      <c r="M315" s="51" t="str">
        <f t="shared" si="32"/>
        <v/>
      </c>
      <c r="N315" s="51"/>
      <c r="O315" s="51" t="str">
        <f t="shared" si="33"/>
        <v xml:space="preserve"> </v>
      </c>
    </row>
    <row r="316" spans="8:15" ht="15" x14ac:dyDescent="0.25">
      <c r="H316" s="50"/>
      <c r="I316" s="51"/>
      <c r="J316" s="51"/>
      <c r="K316" s="51"/>
      <c r="L316" s="51"/>
      <c r="M316" s="51"/>
      <c r="N316" s="51"/>
      <c r="O316" s="51"/>
    </row>
    <row r="317" spans="8:15" ht="15" x14ac:dyDescent="0.25">
      <c r="H317" s="50"/>
      <c r="I317" s="51"/>
      <c r="J317" s="51"/>
      <c r="K317" s="51"/>
      <c r="L317" s="51"/>
      <c r="M317" s="51"/>
      <c r="N317" s="51"/>
      <c r="O317" s="51"/>
    </row>
    <row r="318" spans="8:15" ht="15" x14ac:dyDescent="0.25">
      <c r="H318" s="50"/>
      <c r="I318" s="51"/>
      <c r="J318" s="51"/>
      <c r="K318" s="51"/>
      <c r="L318" s="51"/>
      <c r="M318" s="51"/>
      <c r="N318" s="51"/>
      <c r="O318" s="51"/>
    </row>
    <row r="319" spans="8:15" ht="15" x14ac:dyDescent="0.25">
      <c r="H319" s="50"/>
      <c r="I319" s="51"/>
      <c r="J319" s="51"/>
      <c r="K319" s="51"/>
      <c r="L319" s="51"/>
      <c r="M319" s="51"/>
      <c r="N319" s="51"/>
      <c r="O319" s="51"/>
    </row>
    <row r="320" spans="8:15" ht="15" x14ac:dyDescent="0.25">
      <c r="H320" s="50"/>
      <c r="I320" s="51"/>
      <c r="J320" s="51"/>
      <c r="K320" s="51"/>
      <c r="L320" s="51"/>
      <c r="M320" s="51"/>
      <c r="N320" s="51"/>
      <c r="O320" s="51"/>
    </row>
    <row r="321" spans="8:15" ht="15" x14ac:dyDescent="0.25">
      <c r="H321" s="50"/>
      <c r="I321" s="51"/>
      <c r="J321" s="51"/>
      <c r="K321" s="51"/>
      <c r="L321" s="51"/>
      <c r="M321" s="51"/>
      <c r="N321" s="51"/>
      <c r="O321" s="51"/>
    </row>
    <row r="322" spans="8:15" ht="15" x14ac:dyDescent="0.25">
      <c r="H322" s="50"/>
      <c r="I322" s="51"/>
      <c r="J322" s="51"/>
      <c r="K322" s="51"/>
      <c r="L322" s="51"/>
      <c r="M322" s="51"/>
      <c r="N322" s="51"/>
      <c r="O322" s="51"/>
    </row>
    <row r="323" spans="8:15" ht="15" x14ac:dyDescent="0.25">
      <c r="H323" s="50"/>
      <c r="I323" s="51"/>
      <c r="J323" s="51"/>
      <c r="K323" s="51"/>
      <c r="L323" s="51"/>
      <c r="M323" s="51"/>
      <c r="N323" s="51"/>
      <c r="O323" s="51"/>
    </row>
    <row r="324" spans="8:15" ht="15" x14ac:dyDescent="0.25">
      <c r="H324" s="50"/>
      <c r="I324" s="51"/>
      <c r="J324" s="51"/>
      <c r="K324" s="51"/>
      <c r="L324" s="51"/>
      <c r="M324" s="51"/>
      <c r="N324" s="51"/>
      <c r="O324" s="51"/>
    </row>
    <row r="325" spans="8:15" ht="15" x14ac:dyDescent="0.25">
      <c r="H325" s="50"/>
      <c r="I325" s="51"/>
      <c r="J325" s="51"/>
      <c r="K325" s="51"/>
      <c r="L325" s="51"/>
      <c r="M325" s="51"/>
      <c r="N325" s="51"/>
      <c r="O325" s="51"/>
    </row>
    <row r="326" spans="8:15" ht="15" x14ac:dyDescent="0.25">
      <c r="H326" s="50"/>
      <c r="I326" s="51"/>
      <c r="J326" s="51"/>
      <c r="K326" s="51"/>
      <c r="L326" s="51"/>
      <c r="M326" s="51"/>
      <c r="N326" s="51"/>
      <c r="O326" s="51"/>
    </row>
    <row r="327" spans="8:15" ht="15" x14ac:dyDescent="0.25">
      <c r="H327" s="50"/>
      <c r="I327" s="51"/>
      <c r="J327" s="51"/>
      <c r="K327" s="51"/>
      <c r="L327" s="51"/>
      <c r="M327" s="51"/>
      <c r="N327" s="51"/>
      <c r="O327" s="51"/>
    </row>
    <row r="328" spans="8:15" ht="15" x14ac:dyDescent="0.25">
      <c r="H328" s="50"/>
      <c r="I328" s="51"/>
      <c r="J328" s="51"/>
      <c r="K328" s="51"/>
      <c r="L328" s="51"/>
      <c r="M328" s="51"/>
      <c r="N328" s="51"/>
      <c r="O328" s="51"/>
    </row>
    <row r="329" spans="8:15" ht="15" x14ac:dyDescent="0.25">
      <c r="H329" s="50"/>
      <c r="I329" s="51"/>
      <c r="J329" s="51"/>
      <c r="K329" s="51"/>
      <c r="L329" s="51"/>
      <c r="M329" s="51"/>
      <c r="N329" s="51"/>
      <c r="O329" s="51"/>
    </row>
    <row r="330" spans="8:15" ht="15" x14ac:dyDescent="0.25">
      <c r="H330" s="50"/>
      <c r="I330" s="51"/>
      <c r="J330" s="51"/>
      <c r="K330" s="51"/>
      <c r="L330" s="51"/>
      <c r="M330" s="51"/>
      <c r="N330" s="51"/>
      <c r="O330" s="51"/>
    </row>
    <row r="331" spans="8:15" ht="15" x14ac:dyDescent="0.25">
      <c r="H331" s="50"/>
      <c r="I331" s="51"/>
      <c r="J331" s="51"/>
      <c r="K331" s="51"/>
      <c r="L331" s="51"/>
      <c r="M331" s="51"/>
      <c r="N331" s="51"/>
      <c r="O331" s="51"/>
    </row>
    <row r="332" spans="8:15" ht="15" x14ac:dyDescent="0.25">
      <c r="H332" s="50"/>
      <c r="I332" s="51"/>
      <c r="J332" s="51"/>
      <c r="K332" s="51"/>
      <c r="L332" s="51"/>
      <c r="M332" s="51"/>
      <c r="N332" s="51"/>
      <c r="O332" s="51"/>
    </row>
    <row r="333" spans="8:15" ht="15" x14ac:dyDescent="0.25">
      <c r="H333" s="50"/>
      <c r="I333" s="51"/>
      <c r="J333" s="51"/>
      <c r="K333" s="51"/>
      <c r="L333" s="51"/>
      <c r="M333" s="51"/>
      <c r="N333" s="51"/>
      <c r="O333" s="51"/>
    </row>
    <row r="334" spans="8:15" ht="15" x14ac:dyDescent="0.25">
      <c r="H334" s="50"/>
      <c r="I334" s="51"/>
      <c r="J334" s="51"/>
      <c r="K334" s="51"/>
      <c r="L334" s="51"/>
      <c r="M334" s="51"/>
      <c r="N334" s="51"/>
      <c r="O334" s="51"/>
    </row>
    <row r="335" spans="8:15" ht="15" x14ac:dyDescent="0.25">
      <c r="H335" s="50"/>
      <c r="I335" s="51"/>
      <c r="J335" s="51"/>
      <c r="K335" s="51"/>
      <c r="L335" s="51"/>
      <c r="M335" s="51"/>
      <c r="N335" s="51"/>
      <c r="O335" s="51"/>
    </row>
    <row r="336" spans="8:15" ht="15" x14ac:dyDescent="0.25">
      <c r="H336" s="50"/>
      <c r="I336" s="51"/>
      <c r="J336" s="51"/>
      <c r="K336" s="51"/>
      <c r="L336" s="51"/>
      <c r="M336" s="51"/>
      <c r="N336" s="51"/>
      <c r="O336" s="51"/>
    </row>
    <row r="337" spans="8:15" ht="15" x14ac:dyDescent="0.25">
      <c r="H337" s="50"/>
      <c r="I337" s="51"/>
      <c r="J337" s="51"/>
      <c r="K337" s="51"/>
      <c r="L337" s="51"/>
      <c r="M337" s="51"/>
      <c r="N337" s="51"/>
      <c r="O337" s="51"/>
    </row>
    <row r="338" spans="8:15" ht="15" x14ac:dyDescent="0.25">
      <c r="H338" s="50"/>
      <c r="I338" s="51"/>
      <c r="J338" s="51"/>
      <c r="K338" s="51"/>
      <c r="L338" s="51"/>
      <c r="M338" s="51"/>
      <c r="N338" s="51"/>
      <c r="O338" s="51"/>
    </row>
    <row r="339" spans="8:15" ht="15" x14ac:dyDescent="0.25">
      <c r="H339" s="50"/>
      <c r="I339" s="51"/>
      <c r="J339" s="51"/>
      <c r="K339" s="51"/>
      <c r="L339" s="51"/>
      <c r="M339" s="51"/>
      <c r="N339" s="51"/>
      <c r="O339" s="51"/>
    </row>
    <row r="340" spans="8:15" ht="15" x14ac:dyDescent="0.25">
      <c r="H340" s="50"/>
      <c r="I340" s="51"/>
      <c r="J340" s="51"/>
      <c r="K340" s="51"/>
      <c r="L340" s="51"/>
      <c r="M340" s="51"/>
      <c r="N340" s="51"/>
      <c r="O340" s="51"/>
    </row>
    <row r="341" spans="8:15" ht="15" x14ac:dyDescent="0.25">
      <c r="H341" s="50"/>
      <c r="I341" s="51"/>
      <c r="J341" s="51"/>
      <c r="K341" s="51"/>
      <c r="L341" s="51"/>
      <c r="M341" s="51"/>
      <c r="N341" s="51"/>
      <c r="O341" s="51"/>
    </row>
    <row r="342" spans="8:15" ht="15" x14ac:dyDescent="0.25">
      <c r="H342" s="50"/>
      <c r="I342" s="51"/>
      <c r="J342" s="51"/>
      <c r="K342" s="51"/>
      <c r="L342" s="51"/>
      <c r="M342" s="51"/>
      <c r="N342" s="51"/>
      <c r="O342" s="51"/>
    </row>
    <row r="343" spans="8:15" ht="15" x14ac:dyDescent="0.25">
      <c r="H343" s="50"/>
      <c r="I343" s="51"/>
      <c r="J343" s="51"/>
      <c r="K343" s="51"/>
      <c r="L343" s="51"/>
      <c r="M343" s="51"/>
      <c r="N343" s="51"/>
      <c r="O343" s="51"/>
    </row>
    <row r="344" spans="8:15" ht="15" x14ac:dyDescent="0.25">
      <c r="H344" s="50"/>
      <c r="I344" s="51"/>
      <c r="J344" s="51"/>
      <c r="K344" s="51"/>
      <c r="L344" s="51"/>
      <c r="M344" s="51"/>
      <c r="N344" s="51"/>
      <c r="O344" s="51"/>
    </row>
    <row r="345" spans="8:15" ht="15" x14ac:dyDescent="0.25">
      <c r="H345" s="50"/>
      <c r="I345" s="51"/>
      <c r="J345" s="51"/>
      <c r="K345" s="51"/>
      <c r="L345" s="51"/>
      <c r="M345" s="51"/>
      <c r="N345" s="51"/>
      <c r="O345" s="51"/>
    </row>
    <row r="346" spans="8:15" ht="15" x14ac:dyDescent="0.25">
      <c r="H346" s="50"/>
      <c r="I346" s="51"/>
      <c r="J346" s="51"/>
      <c r="K346" s="51"/>
      <c r="L346" s="51"/>
      <c r="M346" s="51"/>
      <c r="N346" s="51"/>
      <c r="O346" s="51"/>
    </row>
    <row r="347" spans="8:15" ht="15" x14ac:dyDescent="0.25">
      <c r="H347" s="50"/>
      <c r="I347" s="51"/>
      <c r="J347" s="51"/>
      <c r="K347" s="51"/>
      <c r="L347" s="51"/>
      <c r="M347" s="51"/>
      <c r="N347" s="51"/>
      <c r="O347" s="51"/>
    </row>
    <row r="348" spans="8:15" ht="15" x14ac:dyDescent="0.25">
      <c r="H348" s="50"/>
      <c r="I348" s="51"/>
      <c r="J348" s="51"/>
      <c r="K348" s="51"/>
      <c r="L348" s="51"/>
      <c r="M348" s="51"/>
      <c r="N348" s="51"/>
      <c r="O348" s="51"/>
    </row>
    <row r="349" spans="8:15" ht="15" x14ac:dyDescent="0.25">
      <c r="H349" s="50"/>
      <c r="I349" s="51"/>
      <c r="J349" s="51"/>
      <c r="K349" s="51"/>
      <c r="L349" s="51"/>
      <c r="M349" s="51"/>
      <c r="N349" s="51"/>
      <c r="O349" s="51"/>
    </row>
    <row r="350" spans="8:15" ht="15" x14ac:dyDescent="0.25">
      <c r="H350" s="50"/>
      <c r="I350" s="51"/>
      <c r="J350" s="51"/>
      <c r="K350" s="51"/>
      <c r="L350" s="51"/>
      <c r="M350" s="51"/>
      <c r="N350" s="51"/>
      <c r="O350" s="51"/>
    </row>
    <row r="351" spans="8:15" ht="15" x14ac:dyDescent="0.25">
      <c r="H351" s="50"/>
      <c r="I351" s="51"/>
      <c r="J351" s="51"/>
      <c r="K351" s="51"/>
      <c r="L351" s="51"/>
      <c r="M351" s="51"/>
      <c r="N351" s="51"/>
      <c r="O351" s="51"/>
    </row>
    <row r="352" spans="8:15" ht="15" x14ac:dyDescent="0.25">
      <c r="H352" s="50"/>
      <c r="I352" s="51"/>
      <c r="J352" s="51"/>
      <c r="K352" s="51"/>
      <c r="L352" s="51"/>
      <c r="M352" s="51"/>
      <c r="N352" s="51"/>
      <c r="O352" s="51"/>
    </row>
    <row r="353" spans="8:15" ht="15" x14ac:dyDescent="0.25">
      <c r="H353" s="50"/>
      <c r="I353" s="51"/>
      <c r="J353" s="51"/>
      <c r="K353" s="51"/>
      <c r="L353" s="51"/>
      <c r="M353" s="51"/>
      <c r="N353" s="51"/>
      <c r="O353" s="51"/>
    </row>
    <row r="354" spans="8:15" ht="15" x14ac:dyDescent="0.25">
      <c r="H354" s="50"/>
      <c r="I354" s="51"/>
      <c r="J354" s="51"/>
      <c r="K354" s="51"/>
      <c r="L354" s="51"/>
      <c r="M354" s="51"/>
      <c r="N354" s="51"/>
      <c r="O354" s="51"/>
    </row>
    <row r="355" spans="8:15" ht="15" x14ac:dyDescent="0.25">
      <c r="H355" s="50"/>
      <c r="I355" s="51"/>
      <c r="J355" s="51"/>
      <c r="K355" s="51"/>
      <c r="L355" s="51"/>
      <c r="M355" s="51"/>
      <c r="N355" s="51"/>
      <c r="O355" s="51"/>
    </row>
    <row r="356" spans="8:15" ht="15" x14ac:dyDescent="0.25">
      <c r="H356" s="50"/>
      <c r="I356" s="51"/>
      <c r="J356" s="51"/>
      <c r="K356" s="51"/>
      <c r="L356" s="51"/>
      <c r="M356" s="51"/>
      <c r="N356" s="51"/>
      <c r="O356" s="51"/>
    </row>
    <row r="357" spans="8:15" ht="15" x14ac:dyDescent="0.25">
      <c r="H357" s="50"/>
      <c r="I357" s="51"/>
      <c r="J357" s="51"/>
      <c r="K357" s="51"/>
      <c r="L357" s="51"/>
      <c r="M357" s="51"/>
      <c r="N357" s="51"/>
      <c r="O357" s="51"/>
    </row>
    <row r="358" spans="8:15" ht="15" x14ac:dyDescent="0.25">
      <c r="H358" s="50"/>
      <c r="I358" s="51"/>
      <c r="J358" s="51"/>
      <c r="K358" s="51"/>
      <c r="L358" s="51"/>
      <c r="M358" s="51"/>
      <c r="N358" s="51"/>
      <c r="O358" s="51"/>
    </row>
    <row r="359" spans="8:15" ht="15" x14ac:dyDescent="0.25">
      <c r="H359" s="50"/>
      <c r="I359" s="51"/>
      <c r="J359" s="51"/>
      <c r="K359" s="51"/>
      <c r="L359" s="51"/>
      <c r="M359" s="51"/>
      <c r="N359" s="51"/>
      <c r="O359" s="51"/>
    </row>
    <row r="360" spans="8:15" ht="15" x14ac:dyDescent="0.25">
      <c r="H360" s="50"/>
      <c r="I360" s="51"/>
      <c r="J360" s="51"/>
      <c r="K360" s="51"/>
      <c r="L360" s="51"/>
      <c r="M360" s="51"/>
      <c r="N360" s="51"/>
      <c r="O360" s="51"/>
    </row>
    <row r="361" spans="8:15" ht="15" x14ac:dyDescent="0.25">
      <c r="H361" s="50"/>
      <c r="I361" s="51"/>
      <c r="J361" s="51"/>
      <c r="K361" s="51"/>
      <c r="L361" s="51"/>
      <c r="M361" s="51"/>
      <c r="N361" s="51"/>
      <c r="O361" s="51"/>
    </row>
    <row r="362" spans="8:15" ht="15" x14ac:dyDescent="0.25">
      <c r="H362" s="50"/>
      <c r="I362" s="51"/>
      <c r="J362" s="51"/>
      <c r="K362" s="51"/>
      <c r="L362" s="51"/>
      <c r="M362" s="51"/>
      <c r="N362" s="51"/>
      <c r="O362" s="51"/>
    </row>
    <row r="363" spans="8:15" ht="15" x14ac:dyDescent="0.25">
      <c r="H363" s="50"/>
      <c r="I363" s="51"/>
      <c r="J363" s="51"/>
      <c r="K363" s="51"/>
      <c r="L363" s="51"/>
      <c r="M363" s="51"/>
      <c r="N363" s="51"/>
      <c r="O363" s="51"/>
    </row>
    <row r="364" spans="8:15" ht="15" x14ac:dyDescent="0.25">
      <c r="H364" s="50"/>
      <c r="I364" s="51"/>
      <c r="J364" s="51"/>
      <c r="K364" s="51"/>
      <c r="L364" s="51"/>
      <c r="M364" s="51"/>
      <c r="N364" s="51"/>
      <c r="O364" s="51"/>
    </row>
    <row r="365" spans="8:15" ht="15" x14ac:dyDescent="0.25">
      <c r="H365" s="50"/>
      <c r="I365" s="51"/>
      <c r="J365" s="51"/>
      <c r="K365" s="51"/>
      <c r="L365" s="51"/>
      <c r="M365" s="51"/>
      <c r="N365" s="51"/>
      <c r="O365" s="51"/>
    </row>
    <row r="366" spans="8:15" ht="15" x14ac:dyDescent="0.25">
      <c r="H366" s="50"/>
      <c r="I366" s="51"/>
      <c r="J366" s="51"/>
      <c r="K366" s="51"/>
      <c r="L366" s="51"/>
      <c r="M366" s="51"/>
      <c r="N366" s="51"/>
      <c r="O366" s="51"/>
    </row>
    <row r="367" spans="8:15" ht="15" x14ac:dyDescent="0.25">
      <c r="H367" s="50"/>
      <c r="I367" s="51"/>
      <c r="J367" s="51"/>
      <c r="K367" s="51"/>
      <c r="L367" s="51"/>
      <c r="M367" s="51"/>
      <c r="N367" s="51"/>
      <c r="O367" s="51"/>
    </row>
    <row r="368" spans="8:15" ht="15" x14ac:dyDescent="0.25">
      <c r="H368" s="50"/>
      <c r="I368" s="51"/>
      <c r="J368" s="51"/>
      <c r="K368" s="51"/>
      <c r="L368" s="51"/>
      <c r="M368" s="51"/>
      <c r="N368" s="51"/>
      <c r="O368" s="51"/>
    </row>
    <row r="369" spans="8:15" ht="15" x14ac:dyDescent="0.25">
      <c r="H369" s="50"/>
      <c r="I369" s="51"/>
      <c r="J369" s="51"/>
      <c r="K369" s="51"/>
      <c r="L369" s="51"/>
      <c r="M369" s="51"/>
      <c r="N369" s="51"/>
      <c r="O369" s="51"/>
    </row>
    <row r="370" spans="8:15" ht="15" x14ac:dyDescent="0.25">
      <c r="H370" s="50"/>
      <c r="I370" s="51"/>
      <c r="J370" s="51"/>
      <c r="K370" s="51"/>
      <c r="L370" s="51"/>
      <c r="M370" s="51"/>
      <c r="N370" s="51"/>
      <c r="O370" s="51"/>
    </row>
    <row r="371" spans="8:15" ht="15" x14ac:dyDescent="0.25">
      <c r="H371" s="50"/>
      <c r="I371" s="51"/>
      <c r="J371" s="51"/>
      <c r="K371" s="51"/>
      <c r="L371" s="51"/>
      <c r="M371" s="51"/>
      <c r="N371" s="51"/>
      <c r="O371" s="51"/>
    </row>
    <row r="372" spans="8:15" ht="15" x14ac:dyDescent="0.25">
      <c r="H372" s="50"/>
      <c r="I372" s="51"/>
      <c r="J372" s="51"/>
      <c r="K372" s="51"/>
      <c r="L372" s="51"/>
      <c r="M372" s="51"/>
      <c r="N372" s="51"/>
      <c r="O372" s="51"/>
    </row>
    <row r="373" spans="8:15" ht="15" x14ac:dyDescent="0.25">
      <c r="H373" s="50"/>
      <c r="I373" s="51"/>
      <c r="J373" s="51"/>
      <c r="K373" s="51"/>
      <c r="L373" s="51"/>
      <c r="M373" s="51"/>
      <c r="N373" s="51"/>
      <c r="O373" s="51"/>
    </row>
    <row r="374" spans="8:15" ht="15" x14ac:dyDescent="0.25">
      <c r="H374" s="50"/>
      <c r="I374" s="51"/>
      <c r="J374" s="51"/>
      <c r="K374" s="51"/>
      <c r="L374" s="51"/>
      <c r="M374" s="51"/>
      <c r="N374" s="51"/>
      <c r="O374" s="51"/>
    </row>
    <row r="375" spans="8:15" ht="15" x14ac:dyDescent="0.25">
      <c r="H375" s="50"/>
      <c r="I375" s="51"/>
      <c r="J375" s="51"/>
      <c r="K375" s="51"/>
      <c r="L375" s="51"/>
      <c r="M375" s="51"/>
      <c r="N375" s="51"/>
      <c r="O375" s="51"/>
    </row>
    <row r="376" spans="8:15" ht="15" x14ac:dyDescent="0.25">
      <c r="H376" s="50"/>
      <c r="I376" s="51"/>
      <c r="J376" s="51"/>
      <c r="K376" s="51"/>
      <c r="L376" s="51"/>
      <c r="M376" s="51"/>
      <c r="N376" s="51"/>
      <c r="O376" s="51"/>
    </row>
    <row r="377" spans="8:15" ht="15" x14ac:dyDescent="0.25">
      <c r="H377" s="50"/>
      <c r="I377" s="51"/>
      <c r="J377" s="51"/>
      <c r="K377" s="51"/>
      <c r="L377" s="51"/>
      <c r="M377" s="51"/>
      <c r="N377" s="51"/>
      <c r="O377" s="51"/>
    </row>
    <row r="378" spans="8:15" ht="15" x14ac:dyDescent="0.25">
      <c r="H378" s="50"/>
      <c r="I378" s="51"/>
      <c r="J378" s="51"/>
      <c r="K378" s="51"/>
      <c r="L378" s="51"/>
      <c r="M378" s="51"/>
      <c r="N378" s="51"/>
      <c r="O378" s="51"/>
    </row>
    <row r="379" spans="8:15" ht="15" x14ac:dyDescent="0.25">
      <c r="H379" s="50"/>
      <c r="I379" s="51"/>
      <c r="J379" s="51"/>
      <c r="K379" s="51"/>
      <c r="L379" s="51"/>
      <c r="M379" s="51"/>
      <c r="N379" s="51"/>
      <c r="O379" s="51"/>
    </row>
    <row r="380" spans="8:15" ht="15" x14ac:dyDescent="0.25">
      <c r="H380" s="50"/>
      <c r="I380" s="51"/>
      <c r="J380" s="51"/>
      <c r="K380" s="51"/>
      <c r="L380" s="51"/>
      <c r="M380" s="51"/>
      <c r="N380" s="51"/>
      <c r="O380" s="51"/>
    </row>
    <row r="381" spans="8:15" ht="15" x14ac:dyDescent="0.25">
      <c r="H381" s="50"/>
      <c r="I381" s="51"/>
      <c r="J381" s="51"/>
      <c r="K381" s="51"/>
      <c r="L381" s="51"/>
      <c r="M381" s="51"/>
      <c r="N381" s="51"/>
      <c r="O381" s="51"/>
    </row>
    <row r="382" spans="8:15" ht="15" x14ac:dyDescent="0.25">
      <c r="H382" s="50"/>
      <c r="I382" s="51"/>
      <c r="J382" s="51"/>
      <c r="K382" s="51"/>
      <c r="L382" s="51"/>
      <c r="M382" s="51"/>
      <c r="N382" s="51"/>
      <c r="O382" s="51"/>
    </row>
    <row r="383" spans="8:15" ht="15" x14ac:dyDescent="0.25">
      <c r="H383" s="50"/>
      <c r="I383" s="51"/>
      <c r="J383" s="51"/>
      <c r="K383" s="51"/>
      <c r="L383" s="51"/>
      <c r="M383" s="51"/>
      <c r="N383" s="51"/>
      <c r="O383" s="51"/>
    </row>
    <row r="384" spans="8:15" ht="15" x14ac:dyDescent="0.25">
      <c r="H384" s="50"/>
      <c r="I384" s="51"/>
      <c r="J384" s="51"/>
      <c r="K384" s="51"/>
      <c r="L384" s="51"/>
      <c r="M384" s="51"/>
      <c r="N384" s="51"/>
      <c r="O384" s="51"/>
    </row>
    <row r="385" spans="8:15" ht="15" x14ac:dyDescent="0.25">
      <c r="H385" s="50"/>
      <c r="I385" s="51"/>
      <c r="J385" s="51"/>
      <c r="K385" s="51"/>
      <c r="L385" s="51"/>
      <c r="M385" s="51"/>
      <c r="N385" s="51"/>
      <c r="O385" s="51"/>
    </row>
    <row r="386" spans="8:15" ht="15" x14ac:dyDescent="0.25">
      <c r="H386" s="50"/>
      <c r="I386" s="51"/>
      <c r="J386" s="51"/>
      <c r="K386" s="51"/>
      <c r="L386" s="51"/>
      <c r="M386" s="51"/>
      <c r="N386" s="51"/>
      <c r="O386" s="51"/>
    </row>
    <row r="387" spans="8:15" ht="15" x14ac:dyDescent="0.25">
      <c r="H387" s="50"/>
      <c r="I387" s="51"/>
      <c r="J387" s="51"/>
      <c r="K387" s="51"/>
      <c r="L387" s="51"/>
      <c r="M387" s="51"/>
      <c r="N387" s="51"/>
      <c r="O387" s="51"/>
    </row>
    <row r="388" spans="8:15" ht="15" x14ac:dyDescent="0.25">
      <c r="H388" s="50"/>
      <c r="I388" s="51"/>
      <c r="J388" s="51"/>
      <c r="K388" s="51"/>
      <c r="L388" s="51"/>
      <c r="M388" s="51"/>
      <c r="N388" s="51"/>
      <c r="O388" s="51"/>
    </row>
    <row r="389" spans="8:15" ht="15" x14ac:dyDescent="0.25">
      <c r="H389" s="50"/>
      <c r="I389" s="51"/>
      <c r="J389" s="51"/>
      <c r="K389" s="51"/>
      <c r="L389" s="51"/>
      <c r="M389" s="51"/>
      <c r="N389" s="51"/>
      <c r="O389" s="51"/>
    </row>
    <row r="390" spans="8:15" ht="15" x14ac:dyDescent="0.25">
      <c r="H390" s="50"/>
      <c r="I390" s="51"/>
      <c r="J390" s="51"/>
      <c r="K390" s="51"/>
      <c r="L390" s="51"/>
      <c r="M390" s="51"/>
      <c r="N390" s="51"/>
      <c r="O390" s="51"/>
    </row>
    <row r="391" spans="8:15" ht="15" x14ac:dyDescent="0.25">
      <c r="H391" s="50"/>
      <c r="I391" s="51"/>
      <c r="J391" s="51"/>
      <c r="K391" s="51"/>
      <c r="L391" s="51"/>
      <c r="M391" s="51"/>
      <c r="N391" s="51"/>
      <c r="O391" s="51"/>
    </row>
    <row r="392" spans="8:15" ht="15" x14ac:dyDescent="0.25">
      <c r="H392" s="50"/>
      <c r="I392" s="51"/>
      <c r="J392" s="51"/>
      <c r="K392" s="51"/>
      <c r="L392" s="51"/>
      <c r="M392" s="51"/>
      <c r="N392" s="51"/>
      <c r="O392" s="51"/>
    </row>
    <row r="393" spans="8:15" ht="15" x14ac:dyDescent="0.25">
      <c r="H393" s="50"/>
      <c r="I393" s="51"/>
      <c r="J393" s="51"/>
      <c r="K393" s="51"/>
      <c r="L393" s="51"/>
      <c r="M393" s="51"/>
      <c r="N393" s="51"/>
      <c r="O393" s="51"/>
    </row>
    <row r="394" spans="8:15" ht="15" x14ac:dyDescent="0.25">
      <c r="H394" s="50"/>
      <c r="I394" s="51"/>
      <c r="J394" s="51"/>
      <c r="K394" s="51"/>
      <c r="L394" s="51"/>
      <c r="M394" s="51"/>
      <c r="N394" s="51"/>
      <c r="O394" s="51"/>
    </row>
    <row r="395" spans="8:15" ht="15" x14ac:dyDescent="0.25">
      <c r="H395" s="50"/>
      <c r="I395" s="51"/>
      <c r="J395" s="51"/>
      <c r="K395" s="51"/>
      <c r="L395" s="51"/>
      <c r="M395" s="51"/>
      <c r="N395" s="51"/>
      <c r="O395" s="51"/>
    </row>
    <row r="396" spans="8:15" ht="15" x14ac:dyDescent="0.25">
      <c r="H396" s="50"/>
      <c r="I396" s="51"/>
      <c r="J396" s="51"/>
      <c r="K396" s="51"/>
      <c r="L396" s="51"/>
      <c r="M396" s="51"/>
      <c r="N396" s="51"/>
      <c r="O396" s="51"/>
    </row>
    <row r="397" spans="8:15" ht="15" x14ac:dyDescent="0.25">
      <c r="H397" s="50"/>
      <c r="I397" s="51"/>
      <c r="J397" s="51"/>
      <c r="K397" s="51"/>
      <c r="L397" s="51"/>
      <c r="M397" s="51"/>
      <c r="N397" s="51"/>
      <c r="O397" s="51"/>
    </row>
    <row r="398" spans="8:15" ht="15" x14ac:dyDescent="0.25">
      <c r="H398" s="50"/>
      <c r="I398" s="51"/>
      <c r="J398" s="51"/>
      <c r="K398" s="51"/>
      <c r="L398" s="51"/>
      <c r="M398" s="51"/>
      <c r="N398" s="51"/>
      <c r="O398" s="51"/>
    </row>
    <row r="399" spans="8:15" ht="15" x14ac:dyDescent="0.25">
      <c r="H399" s="50"/>
      <c r="I399" s="51"/>
      <c r="J399" s="51"/>
      <c r="K399" s="51"/>
      <c r="L399" s="51"/>
      <c r="M399" s="51"/>
      <c r="N399" s="51"/>
      <c r="O399" s="51"/>
    </row>
    <row r="400" spans="8:15" ht="15" x14ac:dyDescent="0.25">
      <c r="H400" s="50"/>
      <c r="I400" s="51"/>
      <c r="J400" s="51"/>
      <c r="K400" s="51"/>
      <c r="L400" s="51"/>
      <c r="M400" s="51"/>
      <c r="N400" s="51"/>
      <c r="O400" s="51"/>
    </row>
    <row r="401" spans="8:15" ht="15" x14ac:dyDescent="0.25">
      <c r="H401" s="50"/>
      <c r="I401" s="51"/>
      <c r="J401" s="51"/>
      <c r="K401" s="51"/>
      <c r="L401" s="51"/>
      <c r="M401" s="51"/>
      <c r="N401" s="51"/>
      <c r="O401" s="51"/>
    </row>
    <row r="402" spans="8:15" ht="15" x14ac:dyDescent="0.25">
      <c r="H402" s="50"/>
      <c r="I402" s="51"/>
      <c r="J402" s="51"/>
      <c r="K402" s="51"/>
      <c r="L402" s="51"/>
      <c r="M402" s="51"/>
      <c r="N402" s="51"/>
      <c r="O402" s="51"/>
    </row>
    <row r="403" spans="8:15" ht="15" x14ac:dyDescent="0.25">
      <c r="H403" s="50"/>
      <c r="I403" s="51"/>
      <c r="J403" s="51"/>
      <c r="K403" s="51"/>
      <c r="L403" s="51"/>
      <c r="M403" s="51"/>
      <c r="N403" s="51"/>
      <c r="O403" s="51"/>
    </row>
    <row r="404" spans="8:15" ht="15" x14ac:dyDescent="0.25">
      <c r="H404" s="50"/>
      <c r="I404" s="51"/>
      <c r="J404" s="51"/>
      <c r="K404" s="51"/>
      <c r="L404" s="51"/>
      <c r="M404" s="51"/>
      <c r="N404" s="51"/>
      <c r="O404" s="51"/>
    </row>
    <row r="405" spans="8:15" ht="15" x14ac:dyDescent="0.25">
      <c r="H405" s="50"/>
      <c r="I405" s="51"/>
      <c r="J405" s="51"/>
      <c r="K405" s="51"/>
      <c r="L405" s="51"/>
      <c r="M405" s="51"/>
      <c r="N405" s="51"/>
      <c r="O405" s="51"/>
    </row>
    <row r="406" spans="8:15" ht="15" x14ac:dyDescent="0.25">
      <c r="H406" s="50"/>
      <c r="I406" s="51"/>
      <c r="J406" s="51"/>
      <c r="K406" s="51"/>
      <c r="L406" s="51"/>
      <c r="M406" s="51"/>
      <c r="N406" s="51"/>
      <c r="O406" s="51"/>
    </row>
    <row r="407" spans="8:15" ht="15" x14ac:dyDescent="0.25">
      <c r="H407" s="50"/>
      <c r="I407" s="51"/>
      <c r="J407" s="51"/>
      <c r="K407" s="51"/>
      <c r="L407" s="51"/>
      <c r="M407" s="51"/>
      <c r="N407" s="51"/>
      <c r="O407" s="51"/>
    </row>
    <row r="408" spans="8:15" ht="15" x14ac:dyDescent="0.25">
      <c r="H408" s="50"/>
      <c r="I408" s="51"/>
      <c r="J408" s="51"/>
      <c r="K408" s="51"/>
      <c r="L408" s="51"/>
      <c r="M408" s="51"/>
      <c r="N408" s="51"/>
      <c r="O408" s="51"/>
    </row>
    <row r="409" spans="8:15" ht="15" x14ac:dyDescent="0.25">
      <c r="H409" s="50"/>
      <c r="I409" s="51"/>
      <c r="J409" s="51"/>
      <c r="K409" s="51"/>
      <c r="L409" s="51"/>
      <c r="M409" s="51"/>
      <c r="N409" s="51"/>
      <c r="O409" s="51"/>
    </row>
    <row r="410" spans="8:15" ht="15" x14ac:dyDescent="0.25">
      <c r="H410" s="50"/>
      <c r="I410" s="51"/>
      <c r="J410" s="51"/>
      <c r="K410" s="51"/>
      <c r="L410" s="51"/>
      <c r="M410" s="51"/>
      <c r="N410" s="51"/>
      <c r="O410" s="51"/>
    </row>
    <row r="411" spans="8:15" ht="15" x14ac:dyDescent="0.25">
      <c r="H411" s="50"/>
      <c r="I411" s="51"/>
      <c r="J411" s="51"/>
      <c r="K411" s="51"/>
      <c r="L411" s="51"/>
      <c r="M411" s="51"/>
      <c r="N411" s="51"/>
      <c r="O411" s="51"/>
    </row>
    <row r="412" spans="8:15" ht="15" x14ac:dyDescent="0.25">
      <c r="H412" s="50"/>
      <c r="I412" s="51"/>
      <c r="J412" s="51"/>
      <c r="K412" s="51"/>
      <c r="L412" s="51"/>
      <c r="M412" s="51"/>
      <c r="N412" s="51"/>
      <c r="O412" s="51"/>
    </row>
    <row r="413" spans="8:15" ht="15" x14ac:dyDescent="0.25">
      <c r="H413" s="50"/>
      <c r="I413" s="51"/>
      <c r="J413" s="51"/>
      <c r="K413" s="51"/>
      <c r="L413" s="51"/>
      <c r="M413" s="51"/>
      <c r="N413" s="51"/>
      <c r="O413" s="51"/>
    </row>
    <row r="414" spans="8:15" ht="15" x14ac:dyDescent="0.25">
      <c r="H414" s="50"/>
      <c r="I414" s="51"/>
      <c r="J414" s="51"/>
      <c r="K414" s="51"/>
      <c r="L414" s="51"/>
      <c r="M414" s="51"/>
      <c r="N414" s="51"/>
      <c r="O414" s="51"/>
    </row>
    <row r="415" spans="8:15" ht="15" x14ac:dyDescent="0.25">
      <c r="H415" s="50"/>
      <c r="I415" s="51"/>
      <c r="J415" s="51"/>
      <c r="K415" s="51"/>
      <c r="L415" s="51"/>
      <c r="M415" s="51"/>
      <c r="N415" s="51"/>
      <c r="O415" s="51"/>
    </row>
    <row r="416" spans="8:15" ht="15" x14ac:dyDescent="0.25">
      <c r="H416" s="50"/>
      <c r="I416" s="51"/>
      <c r="J416" s="51"/>
      <c r="K416" s="51"/>
      <c r="L416" s="51"/>
      <c r="M416" s="51"/>
      <c r="N416" s="51"/>
      <c r="O416" s="51"/>
    </row>
    <row r="417" spans="8:15" ht="15" x14ac:dyDescent="0.25">
      <c r="H417" s="50"/>
      <c r="I417" s="51"/>
      <c r="J417" s="51"/>
      <c r="K417" s="51"/>
      <c r="L417" s="51"/>
      <c r="M417" s="51"/>
      <c r="N417" s="51"/>
      <c r="O417" s="51"/>
    </row>
    <row r="418" spans="8:15" ht="15" x14ac:dyDescent="0.25">
      <c r="H418" s="50"/>
      <c r="I418" s="51"/>
      <c r="J418" s="51"/>
      <c r="K418" s="51"/>
      <c r="L418" s="51"/>
      <c r="M418" s="51"/>
      <c r="N418" s="51"/>
      <c r="O418" s="51"/>
    </row>
    <row r="419" spans="8:15" ht="15" x14ac:dyDescent="0.25">
      <c r="H419" s="50"/>
      <c r="I419" s="51"/>
      <c r="J419" s="51"/>
      <c r="K419" s="51"/>
      <c r="L419" s="51"/>
      <c r="M419" s="51"/>
      <c r="N419" s="51"/>
      <c r="O419" s="51"/>
    </row>
    <row r="420" spans="8:15" ht="15" x14ac:dyDescent="0.25">
      <c r="H420" s="50"/>
      <c r="I420" s="51"/>
      <c r="J420" s="51"/>
      <c r="K420" s="51"/>
      <c r="L420" s="51"/>
      <c r="M420" s="51"/>
      <c r="N420" s="51"/>
      <c r="O420" s="51"/>
    </row>
    <row r="421" spans="8:15" ht="15" x14ac:dyDescent="0.25">
      <c r="H421" s="50"/>
      <c r="I421" s="51"/>
      <c r="J421" s="51"/>
      <c r="K421" s="51"/>
      <c r="L421" s="51"/>
      <c r="M421" s="51"/>
      <c r="N421" s="51"/>
      <c r="O421" s="51"/>
    </row>
    <row r="422" spans="8:15" ht="15" x14ac:dyDescent="0.25">
      <c r="H422" s="50"/>
      <c r="I422" s="51"/>
      <c r="J422" s="51"/>
      <c r="K422" s="51"/>
      <c r="L422" s="51"/>
      <c r="M422" s="51"/>
      <c r="N422" s="51"/>
      <c r="O422" s="51"/>
    </row>
    <row r="423" spans="8:15" ht="15" x14ac:dyDescent="0.25">
      <c r="H423" s="50"/>
      <c r="I423" s="51"/>
      <c r="J423" s="51"/>
      <c r="K423" s="51"/>
      <c r="L423" s="51"/>
      <c r="M423" s="51"/>
      <c r="N423" s="51"/>
      <c r="O423" s="51"/>
    </row>
    <row r="424" spans="8:15" ht="15" x14ac:dyDescent="0.25">
      <c r="H424" s="50"/>
      <c r="I424" s="51"/>
      <c r="J424" s="51"/>
      <c r="K424" s="51"/>
      <c r="L424" s="51"/>
      <c r="M424" s="51"/>
      <c r="N424" s="51"/>
      <c r="O424" s="51"/>
    </row>
    <row r="425" spans="8:15" ht="15" x14ac:dyDescent="0.25">
      <c r="H425" s="50"/>
      <c r="I425" s="51"/>
      <c r="J425" s="51"/>
      <c r="K425" s="51"/>
      <c r="L425" s="51"/>
      <c r="M425" s="51"/>
      <c r="N425" s="51"/>
      <c r="O425" s="51"/>
    </row>
    <row r="426" spans="8:15" ht="15" x14ac:dyDescent="0.25">
      <c r="H426" s="50"/>
      <c r="I426" s="51"/>
      <c r="J426" s="51"/>
      <c r="K426" s="51"/>
      <c r="L426" s="51"/>
      <c r="M426" s="51"/>
      <c r="N426" s="51"/>
      <c r="O426" s="51"/>
    </row>
    <row r="427" spans="8:15" ht="15" x14ac:dyDescent="0.25">
      <c r="H427" s="50"/>
      <c r="I427" s="51"/>
      <c r="J427" s="51"/>
      <c r="K427" s="51"/>
      <c r="L427" s="51"/>
      <c r="M427" s="51"/>
      <c r="N427" s="51"/>
      <c r="O427" s="51"/>
    </row>
    <row r="428" spans="8:15" ht="15" x14ac:dyDescent="0.25">
      <c r="H428" s="50"/>
      <c r="I428" s="51"/>
      <c r="J428" s="51"/>
      <c r="K428" s="51"/>
      <c r="L428" s="51"/>
      <c r="M428" s="51"/>
      <c r="N428" s="51"/>
      <c r="O428" s="51"/>
    </row>
    <row r="429" spans="8:15" ht="15" x14ac:dyDescent="0.25">
      <c r="H429" s="50"/>
      <c r="I429" s="51"/>
      <c r="J429" s="51"/>
      <c r="K429" s="51"/>
      <c r="L429" s="51"/>
      <c r="M429" s="51"/>
      <c r="N429" s="51"/>
      <c r="O429" s="51"/>
    </row>
    <row r="430" spans="8:15" ht="15" x14ac:dyDescent="0.25">
      <c r="H430" s="50"/>
      <c r="I430" s="51"/>
      <c r="J430" s="51"/>
      <c r="K430" s="51"/>
      <c r="L430" s="51"/>
      <c r="M430" s="51"/>
      <c r="N430" s="51"/>
      <c r="O430" s="51"/>
    </row>
    <row r="431" spans="8:15" ht="15" x14ac:dyDescent="0.25">
      <c r="H431" s="50"/>
      <c r="I431" s="51"/>
      <c r="J431" s="51"/>
      <c r="K431" s="51"/>
      <c r="L431" s="51"/>
      <c r="M431" s="51"/>
      <c r="N431" s="51"/>
      <c r="O431" s="51"/>
    </row>
    <row r="432" spans="8:15" ht="15" x14ac:dyDescent="0.25">
      <c r="H432" s="50"/>
      <c r="I432" s="51"/>
      <c r="J432" s="51"/>
      <c r="K432" s="51"/>
      <c r="L432" s="51"/>
      <c r="M432" s="51"/>
      <c r="N432" s="51"/>
      <c r="O432" s="51"/>
    </row>
    <row r="433" spans="8:15" ht="15" x14ac:dyDescent="0.25">
      <c r="H433" s="50"/>
      <c r="I433" s="51"/>
      <c r="J433" s="51"/>
      <c r="K433" s="51"/>
      <c r="L433" s="51"/>
      <c r="M433" s="51"/>
      <c r="N433" s="51"/>
      <c r="O433" s="51"/>
    </row>
    <row r="434" spans="8:15" ht="15" x14ac:dyDescent="0.25">
      <c r="H434" s="50"/>
      <c r="I434" s="51"/>
      <c r="J434" s="51"/>
      <c r="K434" s="51"/>
      <c r="L434" s="51"/>
      <c r="M434" s="51"/>
      <c r="N434" s="51"/>
      <c r="O434" s="51"/>
    </row>
    <row r="435" spans="8:15" ht="15" x14ac:dyDescent="0.25">
      <c r="H435" s="50"/>
      <c r="I435" s="51"/>
      <c r="J435" s="51"/>
      <c r="K435" s="51"/>
      <c r="L435" s="51"/>
      <c r="M435" s="51"/>
      <c r="N435" s="51"/>
      <c r="O435" s="51"/>
    </row>
    <row r="436" spans="8:15" ht="15" x14ac:dyDescent="0.25">
      <c r="H436" s="50"/>
      <c r="I436" s="51"/>
      <c r="J436" s="51"/>
      <c r="K436" s="51"/>
      <c r="L436" s="51"/>
      <c r="M436" s="51"/>
      <c r="N436" s="51"/>
      <c r="O436" s="51"/>
    </row>
    <row r="437" spans="8:15" ht="15" x14ac:dyDescent="0.25">
      <c r="H437" s="50"/>
      <c r="I437" s="51"/>
      <c r="J437" s="51"/>
      <c r="K437" s="51"/>
      <c r="L437" s="51"/>
      <c r="M437" s="51"/>
      <c r="N437" s="51"/>
      <c r="O437" s="51"/>
    </row>
    <row r="438" spans="8:15" ht="15" x14ac:dyDescent="0.25">
      <c r="H438" s="50"/>
      <c r="I438" s="51"/>
      <c r="J438" s="51"/>
      <c r="K438" s="51"/>
      <c r="L438" s="51"/>
      <c r="M438" s="51"/>
      <c r="N438" s="51"/>
      <c r="O438" s="51"/>
    </row>
    <row r="439" spans="8:15" ht="15" x14ac:dyDescent="0.25">
      <c r="H439" s="50"/>
      <c r="I439" s="51"/>
      <c r="J439" s="51"/>
      <c r="K439" s="51"/>
      <c r="L439" s="51"/>
      <c r="M439" s="51"/>
      <c r="N439" s="51"/>
      <c r="O439" s="51"/>
    </row>
    <row r="440" spans="8:15" ht="15" x14ac:dyDescent="0.25">
      <c r="H440" s="50"/>
      <c r="I440" s="51"/>
      <c r="J440" s="51"/>
      <c r="K440" s="51"/>
      <c r="L440" s="51"/>
      <c r="M440" s="51"/>
      <c r="N440" s="51"/>
      <c r="O440" s="51"/>
    </row>
    <row r="441" spans="8:15" ht="15" x14ac:dyDescent="0.25">
      <c r="H441" s="50"/>
      <c r="I441" s="51"/>
      <c r="J441" s="51"/>
      <c r="K441" s="51"/>
      <c r="L441" s="51"/>
      <c r="M441" s="51"/>
      <c r="N441" s="51"/>
      <c r="O441" s="51"/>
    </row>
    <row r="442" spans="8:15" ht="15" x14ac:dyDescent="0.25">
      <c r="H442" s="50"/>
      <c r="I442" s="51"/>
      <c r="J442" s="51"/>
      <c r="K442" s="51"/>
      <c r="L442" s="51"/>
      <c r="M442" s="51"/>
      <c r="N442" s="51"/>
      <c r="O442" s="51"/>
    </row>
    <row r="443" spans="8:15" ht="15" x14ac:dyDescent="0.25">
      <c r="H443" s="50"/>
      <c r="I443" s="51"/>
      <c r="J443" s="51"/>
      <c r="K443" s="51"/>
      <c r="L443" s="51"/>
      <c r="M443" s="51"/>
      <c r="N443" s="51"/>
      <c r="O443" s="51"/>
    </row>
    <row r="444" spans="8:15" ht="15" x14ac:dyDescent="0.25">
      <c r="H444" s="50"/>
      <c r="I444" s="51"/>
      <c r="J444" s="51"/>
      <c r="K444" s="51"/>
      <c r="L444" s="51"/>
      <c r="M444" s="51"/>
      <c r="N444" s="51"/>
      <c r="O444" s="51"/>
    </row>
    <row r="445" spans="8:15" ht="15" x14ac:dyDescent="0.25">
      <c r="H445" s="50"/>
      <c r="I445" s="51"/>
      <c r="J445" s="51"/>
      <c r="K445" s="51"/>
      <c r="L445" s="51"/>
      <c r="M445" s="51"/>
      <c r="N445" s="51"/>
      <c r="O445" s="51"/>
    </row>
    <row r="446" spans="8:15" ht="15" x14ac:dyDescent="0.25">
      <c r="H446" s="50"/>
      <c r="I446" s="51"/>
      <c r="J446" s="51"/>
      <c r="K446" s="51"/>
      <c r="L446" s="51"/>
      <c r="M446" s="51"/>
      <c r="N446" s="51"/>
      <c r="O446" s="51"/>
    </row>
    <row r="447" spans="8:15" ht="15" x14ac:dyDescent="0.25">
      <c r="H447" s="50"/>
      <c r="I447" s="51"/>
      <c r="J447" s="51"/>
      <c r="K447" s="51"/>
      <c r="L447" s="51"/>
      <c r="M447" s="51"/>
      <c r="N447" s="51"/>
      <c r="O447" s="51"/>
    </row>
    <row r="448" spans="8:15" ht="15" x14ac:dyDescent="0.25">
      <c r="H448" s="50"/>
      <c r="I448" s="51"/>
      <c r="J448" s="51"/>
      <c r="K448" s="51"/>
      <c r="L448" s="51"/>
      <c r="M448" s="51"/>
      <c r="N448" s="51"/>
      <c r="O448" s="51"/>
    </row>
    <row r="449" spans="8:15" ht="15" x14ac:dyDescent="0.25">
      <c r="H449" s="50"/>
      <c r="I449" s="51"/>
      <c r="J449" s="51"/>
      <c r="K449" s="51"/>
      <c r="L449" s="51"/>
      <c r="M449" s="51"/>
      <c r="N449" s="51"/>
      <c r="O449" s="51"/>
    </row>
    <row r="450" spans="8:15" ht="15" x14ac:dyDescent="0.25">
      <c r="H450" s="50"/>
      <c r="I450" s="51"/>
      <c r="J450" s="51"/>
      <c r="K450" s="51"/>
      <c r="L450" s="51"/>
      <c r="M450" s="51"/>
      <c r="N450" s="51"/>
      <c r="O450" s="51"/>
    </row>
    <row r="451" spans="8:15" ht="15" x14ac:dyDescent="0.25">
      <c r="H451" s="50"/>
      <c r="I451" s="51"/>
      <c r="J451" s="51"/>
      <c r="K451" s="51"/>
      <c r="L451" s="51"/>
      <c r="M451" s="51"/>
      <c r="N451" s="51"/>
      <c r="O451" s="51"/>
    </row>
    <row r="452" spans="8:15" ht="15" x14ac:dyDescent="0.25">
      <c r="H452" s="50"/>
      <c r="I452" s="51"/>
      <c r="J452" s="51"/>
      <c r="K452" s="51"/>
      <c r="L452" s="51"/>
      <c r="M452" s="51"/>
      <c r="N452" s="51"/>
      <c r="O452" s="51"/>
    </row>
    <row r="453" spans="8:15" ht="15" x14ac:dyDescent="0.25">
      <c r="H453" s="50"/>
      <c r="I453" s="51"/>
      <c r="J453" s="51"/>
      <c r="K453" s="51"/>
      <c r="L453" s="51"/>
      <c r="M453" s="51"/>
      <c r="N453" s="51"/>
      <c r="O453" s="51"/>
    </row>
    <row r="454" spans="8:15" ht="15" x14ac:dyDescent="0.25">
      <c r="H454" s="50"/>
      <c r="I454" s="51"/>
      <c r="J454" s="51"/>
      <c r="K454" s="51"/>
      <c r="L454" s="51"/>
      <c r="M454" s="51"/>
      <c r="N454" s="51"/>
      <c r="O454" s="51"/>
    </row>
    <row r="455" spans="8:15" ht="15" x14ac:dyDescent="0.25">
      <c r="H455" s="50"/>
      <c r="I455" s="51"/>
      <c r="J455" s="51"/>
      <c r="K455" s="51"/>
      <c r="L455" s="51"/>
      <c r="M455" s="51"/>
      <c r="N455" s="51"/>
      <c r="O455" s="51"/>
    </row>
    <row r="456" spans="8:15" ht="15" x14ac:dyDescent="0.25">
      <c r="H456" s="50"/>
      <c r="I456" s="51"/>
      <c r="J456" s="51"/>
      <c r="K456" s="51"/>
      <c r="L456" s="51"/>
      <c r="M456" s="51"/>
      <c r="N456" s="51"/>
      <c r="O456" s="51"/>
    </row>
    <row r="457" spans="8:15" ht="15" x14ac:dyDescent="0.25">
      <c r="H457" s="50"/>
      <c r="I457" s="51"/>
      <c r="J457" s="51"/>
      <c r="K457" s="51"/>
      <c r="L457" s="51"/>
      <c r="M457" s="51"/>
      <c r="N457" s="51"/>
      <c r="O457" s="51"/>
    </row>
    <row r="458" spans="8:15" ht="15" x14ac:dyDescent="0.25">
      <c r="H458" s="50"/>
      <c r="I458" s="51"/>
      <c r="J458" s="51"/>
      <c r="K458" s="51"/>
      <c r="L458" s="51"/>
      <c r="M458" s="51"/>
      <c r="N458" s="51"/>
      <c r="O458" s="51"/>
    </row>
    <row r="459" spans="8:15" ht="15" x14ac:dyDescent="0.25">
      <c r="H459" s="50"/>
      <c r="I459" s="51"/>
      <c r="J459" s="51"/>
      <c r="K459" s="51"/>
      <c r="L459" s="51"/>
      <c r="M459" s="51"/>
      <c r="N459" s="51"/>
      <c r="O459" s="51"/>
    </row>
    <row r="460" spans="8:15" ht="15" x14ac:dyDescent="0.25">
      <c r="H460" s="50"/>
      <c r="I460" s="51"/>
      <c r="J460" s="51"/>
      <c r="K460" s="51"/>
      <c r="L460" s="51"/>
      <c r="M460" s="51"/>
      <c r="N460" s="51"/>
      <c r="O460" s="51"/>
    </row>
    <row r="461" spans="8:15" ht="15" x14ac:dyDescent="0.25">
      <c r="H461" s="50"/>
      <c r="I461" s="51"/>
      <c r="J461" s="51"/>
      <c r="K461" s="51"/>
      <c r="L461" s="51"/>
      <c r="M461" s="51"/>
      <c r="N461" s="51"/>
      <c r="O461" s="51"/>
    </row>
    <row r="462" spans="8:15" ht="15" x14ac:dyDescent="0.25">
      <c r="H462" s="50"/>
      <c r="I462" s="51"/>
      <c r="J462" s="51"/>
      <c r="K462" s="51"/>
      <c r="L462" s="51"/>
      <c r="M462" s="51"/>
      <c r="N462" s="51"/>
      <c r="O462" s="51"/>
    </row>
  </sheetData>
  <mergeCells count="28">
    <mergeCell ref="E1:Q1"/>
    <mergeCell ref="C8:K8"/>
    <mergeCell ref="H10:O10"/>
    <mergeCell ref="R12:Z13"/>
    <mergeCell ref="Z34:Z36"/>
    <mergeCell ref="V35:W36"/>
    <mergeCell ref="C14:D15"/>
    <mergeCell ref="R18:T19"/>
    <mergeCell ref="R25:S26"/>
    <mergeCell ref="V28:W29"/>
    <mergeCell ref="V30:W30"/>
    <mergeCell ref="Y30:Y32"/>
    <mergeCell ref="T63:T64"/>
    <mergeCell ref="U63:V64"/>
    <mergeCell ref="S86:T86"/>
    <mergeCell ref="B3:L3"/>
    <mergeCell ref="B4:L4"/>
    <mergeCell ref="E37:F38"/>
    <mergeCell ref="R38:Z39"/>
    <mergeCell ref="R41:T42"/>
    <mergeCell ref="R47:S48"/>
    <mergeCell ref="U55:U56"/>
    <mergeCell ref="V55:V56"/>
    <mergeCell ref="Y55:Y56"/>
    <mergeCell ref="Z30:Z32"/>
    <mergeCell ref="V31:W32"/>
    <mergeCell ref="V34:W34"/>
    <mergeCell ref="Y34:Y36"/>
  </mergeCells>
  <conditionalFormatting sqref="J16:J315">
    <cfRule type="dataBar" priority="7">
      <dataBar>
        <cfvo type="min"/>
        <cfvo type="max"/>
        <color rgb="FFFF555A"/>
      </dataBar>
    </cfRule>
  </conditionalFormatting>
  <conditionalFormatting sqref="J16:J315">
    <cfRule type="dataBar" priority="6">
      <dataBar>
        <cfvo type="min"/>
        <cfvo type="max"/>
        <color theme="5" tint="0.59999389629810485"/>
      </dataBar>
    </cfRule>
  </conditionalFormatting>
  <conditionalFormatting sqref="J16:J315">
    <cfRule type="dataBar" priority="5">
      <dataBar>
        <cfvo type="min"/>
        <cfvo type="max"/>
        <color theme="5" tint="0.39997558519241921"/>
      </dataBar>
    </cfRule>
  </conditionalFormatting>
  <conditionalFormatting sqref="K28:K315">
    <cfRule type="dataBar" priority="4">
      <dataBar>
        <cfvo type="min"/>
        <cfvo type="max"/>
        <color rgb="FF63C384"/>
      </dataBar>
    </cfRule>
  </conditionalFormatting>
  <conditionalFormatting sqref="K28:K315">
    <cfRule type="dataBar" priority="3">
      <dataBar>
        <cfvo type="min"/>
        <cfvo type="formula" val="$K$16&gt;$K$15"/>
        <color rgb="FF638EC6"/>
      </dataBar>
    </cfRule>
  </conditionalFormatting>
  <conditionalFormatting sqref="K16:K315">
    <cfRule type="dataBar" priority="1">
      <dataBar>
        <cfvo type="min"/>
        <cfvo type="max"/>
        <color rgb="FF008AEF"/>
      </dataBar>
    </cfRule>
  </conditionalFormatting>
  <dataValidations count="4">
    <dataValidation type="list" allowBlank="1" showInputMessage="1" showErrorMessage="1" sqref="D22">
      <formula1>$C$66:$C$72</formula1>
    </dataValidation>
    <dataValidation type="list" allowBlank="1" showInputMessage="1" showErrorMessage="1" sqref="D19">
      <formula1>$C$63:$C$64</formula1>
    </dataValidation>
    <dataValidation type="list" allowBlank="1" showInputMessage="1" showErrorMessage="1" sqref="D17">
      <formula1>$C$47:$C$61</formula1>
    </dataValidation>
    <dataValidation type="list" allowBlank="1" showInputMessage="1" showErrorMessage="1" sqref="D18">
      <formula1>$C$47:$C$54</formula1>
    </dataValidation>
  </dataValidations>
  <hyperlinks>
    <hyperlink ref="C5" location="Índice!A1" display="Regresar"/>
  </hyperlinks>
  <pageMargins left="0.75" right="0.75" top="1" bottom="1" header="0" footer="0"/>
  <pageSetup paperSize="9" orientation="portrait" r:id="rId1"/>
  <headerFooter alignWithMargins="0"/>
  <drawing r:id="rId2"/>
  <legacyDrawing r:id="rId3"/>
  <oleObjects>
    <mc:AlternateContent xmlns:mc="http://schemas.openxmlformats.org/markup-compatibility/2006">
      <mc:Choice Requires="x14">
        <oleObject progId="Equation.3" shapeId="13313" r:id="rId4">
          <objectPr defaultSize="0" autoPict="0" r:id="rId5">
            <anchor moveWithCells="1">
              <from>
                <xdr:col>20</xdr:col>
                <xdr:colOff>219075</xdr:colOff>
                <xdr:row>15</xdr:row>
                <xdr:rowOff>161925</xdr:rowOff>
              </from>
              <to>
                <xdr:col>24</xdr:col>
                <xdr:colOff>676275</xdr:colOff>
                <xdr:row>21</xdr:row>
                <xdr:rowOff>28575</xdr:rowOff>
              </to>
            </anchor>
          </objectPr>
        </oleObject>
      </mc:Choice>
      <mc:Fallback>
        <oleObject progId="Equation.3" shapeId="13313" r:id="rId4"/>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B2:J48"/>
  <sheetViews>
    <sheetView showGridLines="0" workbookViewId="0"/>
  </sheetViews>
  <sheetFormatPr baseColWidth="10" defaultRowHeight="12.75" x14ac:dyDescent="0.2"/>
  <cols>
    <col min="2" max="2" width="19.5703125" customWidth="1"/>
    <col min="3" max="3" width="18.85546875" bestFit="1" customWidth="1"/>
    <col min="4" max="5" width="14.140625" bestFit="1" customWidth="1"/>
    <col min="6" max="6" width="0" hidden="1" customWidth="1"/>
    <col min="8" max="8" width="15.28515625" customWidth="1"/>
    <col min="9" max="9" width="14.7109375" bestFit="1" customWidth="1"/>
  </cols>
  <sheetData>
    <row r="2" spans="2:5" ht="13.5" thickBot="1" x14ac:dyDescent="0.25"/>
    <row r="3" spans="2:5" ht="24.75" thickTop="1" x14ac:dyDescent="0.2">
      <c r="B3" s="29" t="s">
        <v>36</v>
      </c>
      <c r="C3" s="30" t="s">
        <v>38</v>
      </c>
    </row>
    <row r="4" spans="2:5" x14ac:dyDescent="0.2">
      <c r="B4" s="25" t="s">
        <v>34</v>
      </c>
      <c r="C4" s="26" t="s">
        <v>33</v>
      </c>
    </row>
    <row r="5" spans="2:5" x14ac:dyDescent="0.2">
      <c r="B5" s="13" t="s">
        <v>44</v>
      </c>
      <c r="C5" s="15">
        <v>19108.14</v>
      </c>
    </row>
    <row r="6" spans="2:5" x14ac:dyDescent="0.2">
      <c r="B6" s="13" t="s">
        <v>15</v>
      </c>
      <c r="C6" s="15" t="s">
        <v>16</v>
      </c>
      <c r="E6" s="35"/>
    </row>
    <row r="7" spans="2:5" x14ac:dyDescent="0.2">
      <c r="B7" s="13" t="s">
        <v>25</v>
      </c>
      <c r="C7" s="16">
        <v>335</v>
      </c>
    </row>
    <row r="8" spans="2:5" x14ac:dyDescent="0.2">
      <c r="B8" s="13" t="s">
        <v>17</v>
      </c>
      <c r="C8" s="16" t="s">
        <v>18</v>
      </c>
    </row>
    <row r="9" spans="2:5" x14ac:dyDescent="0.2">
      <c r="B9" s="13" t="s">
        <v>39</v>
      </c>
      <c r="C9" s="33">
        <v>9554.06</v>
      </c>
    </row>
    <row r="10" spans="2:5" s="5" customFormat="1" ht="25.5" x14ac:dyDescent="0.2">
      <c r="B10" s="14" t="s">
        <v>24</v>
      </c>
      <c r="C10" s="17" t="s">
        <v>40</v>
      </c>
    </row>
    <row r="11" spans="2:5" s="5" customFormat="1" x14ac:dyDescent="0.2">
      <c r="B11" s="14" t="s">
        <v>41</v>
      </c>
      <c r="C11" s="34">
        <v>0.12</v>
      </c>
    </row>
    <row r="12" spans="2:5" ht="25.5" x14ac:dyDescent="0.2">
      <c r="B12" s="14" t="s">
        <v>19</v>
      </c>
      <c r="C12" s="18">
        <v>0.1205</v>
      </c>
    </row>
    <row r="13" spans="2:5" ht="25.5" hidden="1" x14ac:dyDescent="0.2">
      <c r="B13" s="14" t="s">
        <v>20</v>
      </c>
      <c r="C13" s="18">
        <v>0</v>
      </c>
    </row>
    <row r="14" spans="2:5" hidden="1" x14ac:dyDescent="0.2">
      <c r="B14" s="14" t="s">
        <v>21</v>
      </c>
      <c r="C14" s="18">
        <v>0</v>
      </c>
    </row>
    <row r="15" spans="2:5" hidden="1" x14ac:dyDescent="0.2">
      <c r="B15" s="14" t="s">
        <v>22</v>
      </c>
      <c r="C15" s="18">
        <v>0</v>
      </c>
    </row>
    <row r="16" spans="2:5" x14ac:dyDescent="0.2">
      <c r="B16" s="14" t="s">
        <v>23</v>
      </c>
      <c r="C16" s="18" t="s">
        <v>27</v>
      </c>
    </row>
    <row r="17" spans="2:10" x14ac:dyDescent="0.2">
      <c r="B17" s="14" t="s">
        <v>32</v>
      </c>
      <c r="C17" s="18"/>
    </row>
    <row r="18" spans="2:10" x14ac:dyDescent="0.2">
      <c r="B18" s="14" t="s">
        <v>28</v>
      </c>
      <c r="C18" s="18" t="s">
        <v>29</v>
      </c>
    </row>
    <row r="19" spans="2:10" x14ac:dyDescent="0.2">
      <c r="B19" s="14" t="s">
        <v>30</v>
      </c>
      <c r="C19" s="18" t="s">
        <v>31</v>
      </c>
    </row>
    <row r="20" spans="2:10" x14ac:dyDescent="0.2">
      <c r="B20" s="14" t="s">
        <v>1</v>
      </c>
      <c r="C20" s="19" t="s">
        <v>2</v>
      </c>
    </row>
    <row r="21" spans="2:10" x14ac:dyDescent="0.2">
      <c r="B21" s="23" t="s">
        <v>13</v>
      </c>
      <c r="C21" s="20">
        <f>+C47</f>
        <v>0.12050000000000072</v>
      </c>
    </row>
    <row r="22" spans="2:10" x14ac:dyDescent="0.2">
      <c r="B22" s="23" t="s">
        <v>14</v>
      </c>
      <c r="C22" s="21">
        <f>+C48</f>
        <v>0.12738299089399563</v>
      </c>
    </row>
    <row r="23" spans="2:10" ht="39" thickBot="1" x14ac:dyDescent="0.25">
      <c r="B23" s="23" t="s">
        <v>35</v>
      </c>
      <c r="C23" s="22">
        <v>0.2011</v>
      </c>
    </row>
    <row r="24" spans="2:10" ht="13.5" thickTop="1" x14ac:dyDescent="0.2">
      <c r="B24" s="24" t="s">
        <v>37</v>
      </c>
    </row>
    <row r="30" spans="2:10" ht="21" thickBot="1" x14ac:dyDescent="0.35">
      <c r="B30" s="1"/>
      <c r="C30" s="199" t="s">
        <v>4</v>
      </c>
      <c r="D30" s="199"/>
      <c r="E30" s="199"/>
      <c r="F30" s="199"/>
      <c r="G30" s="199"/>
      <c r="H30" s="199"/>
      <c r="I30" s="199"/>
    </row>
    <row r="31" spans="2:10" ht="15" x14ac:dyDescent="0.25">
      <c r="B31" s="12" t="s">
        <v>5</v>
      </c>
      <c r="C31" s="6" t="s">
        <v>43</v>
      </c>
      <c r="D31" s="6" t="s">
        <v>6</v>
      </c>
      <c r="E31" s="6" t="s">
        <v>7</v>
      </c>
      <c r="F31" s="6" t="s">
        <v>9</v>
      </c>
      <c r="G31" s="6" t="s">
        <v>42</v>
      </c>
      <c r="H31" s="6" t="s">
        <v>8</v>
      </c>
      <c r="I31" s="11"/>
      <c r="J31" s="27" t="s">
        <v>10</v>
      </c>
    </row>
    <row r="32" spans="2:10" x14ac:dyDescent="0.2">
      <c r="B32" s="9">
        <v>0</v>
      </c>
      <c r="C32" s="32">
        <f>-C9</f>
        <v>-9554.06</v>
      </c>
      <c r="D32" s="31"/>
      <c r="E32" s="31"/>
      <c r="F32" s="36">
        <f>+$C$13*$C$5/12</f>
        <v>0</v>
      </c>
      <c r="G32" s="32">
        <f>+C32*$C$11</f>
        <v>-1146.4871999999998</v>
      </c>
      <c r="H32" s="31">
        <f>+C5+C32</f>
        <v>9554.08</v>
      </c>
      <c r="I32" s="7"/>
      <c r="J32" s="7">
        <f>+H32+F32</f>
        <v>9554.08</v>
      </c>
    </row>
    <row r="33" spans="2:10" x14ac:dyDescent="0.2">
      <c r="B33" s="10">
        <v>1</v>
      </c>
      <c r="C33" s="32">
        <f>+PMT(C12/12,12,H32,0)</f>
        <v>-849.09192533652345</v>
      </c>
      <c r="D33" s="32">
        <f t="shared" ref="D33:D44" si="0">-H32*$C$12/12</f>
        <v>-95.938886666666676</v>
      </c>
      <c r="E33" s="32">
        <f t="shared" ref="E33:E44" si="1">+C33-D33</f>
        <v>-753.15303866985676</v>
      </c>
      <c r="F33" s="37">
        <f>+C15*$H$32/12</f>
        <v>0</v>
      </c>
      <c r="G33" s="32">
        <f t="shared" ref="G33:G44" si="2">+C33*$C$11</f>
        <v>-101.89103104038281</v>
      </c>
      <c r="H33" s="32">
        <f t="shared" ref="H33:H44" si="3">+H32+E33</f>
        <v>8800.926961330144</v>
      </c>
      <c r="I33" s="7"/>
      <c r="J33" s="8">
        <f>+C33+F33</f>
        <v>-849.09192533652345</v>
      </c>
    </row>
    <row r="34" spans="2:10" x14ac:dyDescent="0.2">
      <c r="B34" s="28">
        <v>2</v>
      </c>
      <c r="C34" s="32">
        <f t="shared" ref="C34:C44" si="4">+C33</f>
        <v>-849.09192533652345</v>
      </c>
      <c r="D34" s="32">
        <f t="shared" si="0"/>
        <v>-88.375974903356862</v>
      </c>
      <c r="E34" s="32">
        <f t="shared" si="1"/>
        <v>-760.71595043316654</v>
      </c>
      <c r="F34" s="37">
        <f t="shared" ref="F34:F44" si="5">+F33</f>
        <v>0</v>
      </c>
      <c r="G34" s="32">
        <f t="shared" si="2"/>
        <v>-101.89103104038281</v>
      </c>
      <c r="H34" s="32">
        <f t="shared" si="3"/>
        <v>8040.2110108969773</v>
      </c>
      <c r="I34" s="7"/>
      <c r="J34" s="8">
        <f t="shared" ref="J34:J44" si="6">+C34+F34</f>
        <v>-849.09192533652345</v>
      </c>
    </row>
    <row r="35" spans="2:10" x14ac:dyDescent="0.2">
      <c r="B35" s="28">
        <v>3</v>
      </c>
      <c r="C35" s="32">
        <f t="shared" si="4"/>
        <v>-849.09192533652345</v>
      </c>
      <c r="D35" s="32">
        <f t="shared" si="0"/>
        <v>-80.737118901090483</v>
      </c>
      <c r="E35" s="32">
        <f t="shared" si="1"/>
        <v>-768.35480643543292</v>
      </c>
      <c r="F35" s="37">
        <f t="shared" si="5"/>
        <v>0</v>
      </c>
      <c r="G35" s="32">
        <f t="shared" si="2"/>
        <v>-101.89103104038281</v>
      </c>
      <c r="H35" s="32">
        <f t="shared" si="3"/>
        <v>7271.8562044615446</v>
      </c>
      <c r="I35" s="7"/>
      <c r="J35" s="8">
        <f t="shared" si="6"/>
        <v>-849.09192533652345</v>
      </c>
    </row>
    <row r="36" spans="2:10" x14ac:dyDescent="0.2">
      <c r="B36" s="28">
        <v>4</v>
      </c>
      <c r="C36" s="32">
        <f t="shared" si="4"/>
        <v>-849.09192533652345</v>
      </c>
      <c r="D36" s="32">
        <f t="shared" si="0"/>
        <v>-73.021556053134674</v>
      </c>
      <c r="E36" s="32">
        <f t="shared" si="1"/>
        <v>-776.0703692833888</v>
      </c>
      <c r="F36" s="37">
        <f t="shared" si="5"/>
        <v>0</v>
      </c>
      <c r="G36" s="32">
        <f t="shared" si="2"/>
        <v>-101.89103104038281</v>
      </c>
      <c r="H36" s="32">
        <f t="shared" si="3"/>
        <v>6495.785835178156</v>
      </c>
      <c r="I36" s="7"/>
      <c r="J36" s="8">
        <f t="shared" si="6"/>
        <v>-849.09192533652345</v>
      </c>
    </row>
    <row r="37" spans="2:10" x14ac:dyDescent="0.2">
      <c r="B37" s="28">
        <v>5</v>
      </c>
      <c r="C37" s="32">
        <f t="shared" si="4"/>
        <v>-849.09192533652345</v>
      </c>
      <c r="D37" s="32">
        <f t="shared" si="0"/>
        <v>-65.228516094913985</v>
      </c>
      <c r="E37" s="32">
        <f t="shared" si="1"/>
        <v>-783.86340924160947</v>
      </c>
      <c r="F37" s="37">
        <f t="shared" si="5"/>
        <v>0</v>
      </c>
      <c r="G37" s="32">
        <f t="shared" si="2"/>
        <v>-101.89103104038281</v>
      </c>
      <c r="H37" s="32">
        <f t="shared" si="3"/>
        <v>5711.9224259365465</v>
      </c>
      <c r="I37" s="7"/>
      <c r="J37" s="8">
        <f t="shared" si="6"/>
        <v>-849.09192533652345</v>
      </c>
    </row>
    <row r="38" spans="2:10" x14ac:dyDescent="0.2">
      <c r="B38" s="28">
        <v>6</v>
      </c>
      <c r="C38" s="32">
        <f t="shared" si="4"/>
        <v>-849.09192533652345</v>
      </c>
      <c r="D38" s="32">
        <f t="shared" si="0"/>
        <v>-57.357221027112814</v>
      </c>
      <c r="E38" s="32">
        <f t="shared" si="1"/>
        <v>-791.73470430941063</v>
      </c>
      <c r="F38" s="37">
        <f t="shared" si="5"/>
        <v>0</v>
      </c>
      <c r="G38" s="32">
        <f t="shared" si="2"/>
        <v>-101.89103104038281</v>
      </c>
      <c r="H38" s="32">
        <f t="shared" si="3"/>
        <v>4920.1877216271359</v>
      </c>
      <c r="I38" s="7"/>
      <c r="J38" s="8">
        <f t="shared" si="6"/>
        <v>-849.09192533652345</v>
      </c>
    </row>
    <row r="39" spans="2:10" x14ac:dyDescent="0.2">
      <c r="B39" s="28">
        <v>7</v>
      </c>
      <c r="C39" s="32">
        <f t="shared" si="4"/>
        <v>-849.09192533652345</v>
      </c>
      <c r="D39" s="32">
        <f t="shared" si="0"/>
        <v>-49.406885038005818</v>
      </c>
      <c r="E39" s="32">
        <f t="shared" si="1"/>
        <v>-799.68504029851761</v>
      </c>
      <c r="F39" s="37">
        <f t="shared" si="5"/>
        <v>0</v>
      </c>
      <c r="G39" s="32">
        <f t="shared" si="2"/>
        <v>-101.89103104038281</v>
      </c>
      <c r="H39" s="32">
        <f t="shared" si="3"/>
        <v>4120.5026813286186</v>
      </c>
      <c r="I39" s="7"/>
      <c r="J39" s="8">
        <f t="shared" si="6"/>
        <v>-849.09192533652345</v>
      </c>
    </row>
    <row r="40" spans="2:10" x14ac:dyDescent="0.2">
      <c r="B40" s="28">
        <v>8</v>
      </c>
      <c r="C40" s="32">
        <f t="shared" si="4"/>
        <v>-849.09192533652345</v>
      </c>
      <c r="D40" s="32">
        <f t="shared" si="0"/>
        <v>-41.37671442500821</v>
      </c>
      <c r="E40" s="32">
        <f t="shared" si="1"/>
        <v>-807.71521091151521</v>
      </c>
      <c r="F40" s="37">
        <f t="shared" si="5"/>
        <v>0</v>
      </c>
      <c r="G40" s="32">
        <f t="shared" si="2"/>
        <v>-101.89103104038281</v>
      </c>
      <c r="H40" s="32">
        <f t="shared" si="3"/>
        <v>3312.7874704171036</v>
      </c>
      <c r="I40" s="7"/>
      <c r="J40" s="8">
        <f t="shared" si="6"/>
        <v>-849.09192533652345</v>
      </c>
    </row>
    <row r="41" spans="2:10" x14ac:dyDescent="0.2">
      <c r="B41" s="28">
        <v>9</v>
      </c>
      <c r="C41" s="32">
        <f t="shared" si="4"/>
        <v>-849.09192533652345</v>
      </c>
      <c r="D41" s="32">
        <f t="shared" si="0"/>
        <v>-33.265907515438414</v>
      </c>
      <c r="E41" s="32">
        <f t="shared" si="1"/>
        <v>-815.82601782108509</v>
      </c>
      <c r="F41" s="37">
        <f t="shared" si="5"/>
        <v>0</v>
      </c>
      <c r="G41" s="32">
        <f t="shared" si="2"/>
        <v>-101.89103104038281</v>
      </c>
      <c r="H41" s="32">
        <f t="shared" si="3"/>
        <v>2496.9614525960187</v>
      </c>
      <c r="I41" s="7"/>
      <c r="J41" s="8">
        <f t="shared" si="6"/>
        <v>-849.09192533652345</v>
      </c>
    </row>
    <row r="42" spans="2:10" x14ac:dyDescent="0.2">
      <c r="B42" s="28">
        <v>10</v>
      </c>
      <c r="C42" s="32">
        <f t="shared" si="4"/>
        <v>-849.09192533652345</v>
      </c>
      <c r="D42" s="32">
        <f t="shared" si="0"/>
        <v>-25.07365458648502</v>
      </c>
      <c r="E42" s="32">
        <f t="shared" si="1"/>
        <v>-824.01827075003848</v>
      </c>
      <c r="F42" s="37">
        <f t="shared" si="5"/>
        <v>0</v>
      </c>
      <c r="G42" s="32">
        <f t="shared" si="2"/>
        <v>-101.89103104038281</v>
      </c>
      <c r="H42" s="32">
        <f t="shared" si="3"/>
        <v>1672.9431818459802</v>
      </c>
      <c r="I42" s="7"/>
      <c r="J42" s="8">
        <f t="shared" si="6"/>
        <v>-849.09192533652345</v>
      </c>
    </row>
    <row r="43" spans="2:10" x14ac:dyDescent="0.2">
      <c r="B43" s="28">
        <v>11</v>
      </c>
      <c r="C43" s="32">
        <f t="shared" si="4"/>
        <v>-849.09192533652345</v>
      </c>
      <c r="D43" s="32">
        <f t="shared" si="0"/>
        <v>-16.79913778437005</v>
      </c>
      <c r="E43" s="32">
        <f t="shared" si="1"/>
        <v>-832.29278755215341</v>
      </c>
      <c r="F43" s="37">
        <f t="shared" si="5"/>
        <v>0</v>
      </c>
      <c r="G43" s="32">
        <f t="shared" si="2"/>
        <v>-101.89103104038281</v>
      </c>
      <c r="H43" s="32">
        <f t="shared" si="3"/>
        <v>840.65039429382682</v>
      </c>
      <c r="I43" s="7"/>
      <c r="J43" s="8">
        <f t="shared" si="6"/>
        <v>-849.09192533652345</v>
      </c>
    </row>
    <row r="44" spans="2:10" x14ac:dyDescent="0.2">
      <c r="B44" s="28">
        <v>12</v>
      </c>
      <c r="C44" s="32">
        <f t="shared" si="4"/>
        <v>-849.09192533652345</v>
      </c>
      <c r="D44" s="32">
        <f t="shared" si="0"/>
        <v>-8.441531042700511</v>
      </c>
      <c r="E44" s="32">
        <f t="shared" si="1"/>
        <v>-840.65039429382296</v>
      </c>
      <c r="F44" s="37">
        <f t="shared" si="5"/>
        <v>0</v>
      </c>
      <c r="G44" s="32">
        <f t="shared" si="2"/>
        <v>-101.89103104038281</v>
      </c>
      <c r="H44" s="32">
        <f t="shared" si="3"/>
        <v>3.865352482534945E-12</v>
      </c>
      <c r="I44" s="7"/>
      <c r="J44" s="8">
        <f t="shared" si="6"/>
        <v>-849.09192533652345</v>
      </c>
    </row>
    <row r="45" spans="2:10" ht="15" x14ac:dyDescent="0.2">
      <c r="B45" s="1"/>
      <c r="C45" s="1"/>
      <c r="D45" s="1"/>
      <c r="E45" s="1"/>
      <c r="F45" s="1"/>
      <c r="G45" s="1"/>
      <c r="H45" s="2"/>
      <c r="I45" s="1"/>
    </row>
    <row r="46" spans="2:10" ht="15.75" x14ac:dyDescent="0.25">
      <c r="B46" s="3" t="s">
        <v>11</v>
      </c>
      <c r="C46" s="4">
        <f>+IRR(J32:J44)</f>
        <v>1.0041666666666726E-2</v>
      </c>
      <c r="E46" s="1"/>
      <c r="F46" s="1"/>
      <c r="G46" s="1"/>
      <c r="H46" s="1"/>
      <c r="I46" s="1"/>
    </row>
    <row r="47" spans="2:10" ht="15.75" x14ac:dyDescent="0.25">
      <c r="B47" s="3" t="s">
        <v>12</v>
      </c>
      <c r="C47" s="4">
        <f>+C46*12</f>
        <v>0.12050000000000072</v>
      </c>
      <c r="E47" s="1"/>
      <c r="F47" s="1"/>
      <c r="G47" s="1"/>
      <c r="H47" s="1"/>
      <c r="I47" s="1"/>
    </row>
    <row r="48" spans="2:10" ht="15.75" x14ac:dyDescent="0.25">
      <c r="B48" s="3" t="s">
        <v>0</v>
      </c>
      <c r="C48" s="4">
        <f>+((1+C46)^12)-1</f>
        <v>0.12738299089399563</v>
      </c>
      <c r="E48" s="1"/>
      <c r="F48" s="1"/>
      <c r="G48" s="1"/>
      <c r="H48" s="1"/>
      <c r="I48" s="1"/>
    </row>
  </sheetData>
  <mergeCells count="1">
    <mergeCell ref="C30:I30"/>
  </mergeCells>
  <phoneticPr fontId="0" type="noConversion"/>
  <pageMargins left="0.75" right="0.75" top="1" bottom="1" header="0" footer="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15</vt:i4>
      </vt:variant>
    </vt:vector>
  </HeadingPairs>
  <TitlesOfParts>
    <vt:vector size="22" baseType="lpstr">
      <vt:lpstr>Índice</vt:lpstr>
      <vt:lpstr>Ejemplo 1</vt:lpstr>
      <vt:lpstr>Ejemplo 2 Caso I</vt:lpstr>
      <vt:lpstr>Ejemplo 2 Caso II</vt:lpstr>
      <vt:lpstr>Ejemplo 2 Caso III</vt:lpstr>
      <vt:lpstr>Ejemplo 3</vt:lpstr>
      <vt:lpstr>Crédito Leasing</vt:lpstr>
      <vt:lpstr>'Ejemplo 2 Caso I'!credito</vt:lpstr>
      <vt:lpstr>'Ejemplo 2 Caso II'!credito</vt:lpstr>
      <vt:lpstr>'Ejemplo 2 Caso III'!credito</vt:lpstr>
      <vt:lpstr>'Ejemplo 3'!credito</vt:lpstr>
      <vt:lpstr>credito</vt:lpstr>
      <vt:lpstr>'Ejemplo 2 Caso I'!listas</vt:lpstr>
      <vt:lpstr>'Ejemplo 2 Caso II'!listas</vt:lpstr>
      <vt:lpstr>'Ejemplo 2 Caso III'!listas</vt:lpstr>
      <vt:lpstr>'Ejemplo 3'!listas</vt:lpstr>
      <vt:lpstr>listas</vt:lpstr>
      <vt:lpstr>'Ejemplo 2 Caso I'!pagos</vt:lpstr>
      <vt:lpstr>'Ejemplo 2 Caso II'!pagos</vt:lpstr>
      <vt:lpstr>'Ejemplo 2 Caso III'!pagos</vt:lpstr>
      <vt:lpstr>'Ejemplo 3'!pagos</vt:lpstr>
      <vt:lpstr>pagos</vt:lpstr>
    </vt:vector>
  </TitlesOfParts>
  <Company>Banco Central del Ecuador</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pafreire</dc:creator>
  <cp:lastModifiedBy>pafreire</cp:lastModifiedBy>
  <cp:lastPrinted>2007-06-21T20:13:25Z</cp:lastPrinted>
  <dcterms:created xsi:type="dcterms:W3CDTF">2007-03-21T03:57:36Z</dcterms:created>
  <dcterms:modified xsi:type="dcterms:W3CDTF">2016-12-05T15:25:06Z</dcterms:modified>
</cp:coreProperties>
</file>